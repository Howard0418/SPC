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L:\產線-品保部\03_QC\01_IQC.IPQC\製二藥水分析\IPQC-製二課分析記錄表\2026年\"/>
    </mc:Choice>
  </mc:AlternateContent>
  <xr:revisionPtr revIDLastSave="0" documentId="13_ncr:1_{B0E5FF04-52BF-4F58-92A9-7862B35E345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 日分析表" sheetId="10" r:id="rId1"/>
    <sheet name="新線分析表" sheetId="11" r:id="rId2"/>
    <sheet name="小槽" sheetId="12" r:id="rId3"/>
    <sheet name="除鈀" sheetId="14" r:id="rId4"/>
    <sheet name="F值" sheetId="3" r:id="rId5"/>
  </sheets>
  <externalReferences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4" l="1"/>
  <c r="I31" i="11"/>
  <c r="I15" i="11"/>
  <c r="I12" i="14"/>
  <c r="I17" i="11"/>
  <c r="B4" i="14" l="1"/>
  <c r="I25" i="11"/>
  <c r="J25" i="11" s="1"/>
  <c r="I24" i="11"/>
  <c r="J24" i="11" s="1"/>
  <c r="I22" i="11"/>
  <c r="J22" i="11" s="1"/>
  <c r="I21" i="11"/>
  <c r="J21" i="11" s="1"/>
  <c r="I20" i="11"/>
  <c r="J20" i="11" s="1"/>
  <c r="I7" i="10"/>
  <c r="J7" i="10" s="1"/>
  <c r="I11" i="11"/>
  <c r="J11" i="11" s="1"/>
  <c r="I32" i="11"/>
  <c r="J32" i="11" s="1"/>
  <c r="I23" i="11"/>
  <c r="J23" i="11" s="1"/>
  <c r="J18" i="11"/>
  <c r="I24" i="10"/>
  <c r="J24" i="10" s="1"/>
  <c r="I23" i="10"/>
  <c r="J23" i="10" s="1"/>
  <c r="I22" i="10"/>
  <c r="J22" i="10" s="1"/>
  <c r="I30" i="11"/>
  <c r="J30" i="11" s="1"/>
  <c r="J31" i="11"/>
  <c r="I17" i="10"/>
  <c r="J17" i="10" s="1"/>
  <c r="I11" i="10"/>
  <c r="J11" i="10" s="1"/>
  <c r="B5" i="14"/>
  <c r="B5" i="12"/>
  <c r="B4" i="12"/>
  <c r="J13" i="14"/>
  <c r="J12" i="14"/>
  <c r="J11" i="14"/>
  <c r="J10" i="14"/>
  <c r="J9" i="14"/>
  <c r="I8" i="14"/>
  <c r="J8" i="14" s="1"/>
  <c r="I7" i="14"/>
  <c r="J7" i="14" s="1"/>
  <c r="I7" i="12"/>
  <c r="J7" i="12" s="1"/>
  <c r="I8" i="12"/>
  <c r="J8" i="12" s="1"/>
  <c r="J9" i="12"/>
  <c r="J10" i="12"/>
  <c r="I11" i="12"/>
  <c r="J11" i="12" s="1"/>
  <c r="I12" i="12"/>
  <c r="J12" i="12" s="1"/>
  <c r="J13" i="12"/>
  <c r="I15" i="12"/>
  <c r="J15" i="12" s="1"/>
  <c r="J16" i="12"/>
  <c r="I17" i="12"/>
  <c r="J17" i="12" s="1"/>
  <c r="J18" i="12"/>
  <c r="I20" i="12"/>
  <c r="J20" i="12" s="1"/>
  <c r="I21" i="12"/>
  <c r="J21" i="12" s="1"/>
  <c r="I22" i="12"/>
  <c r="J22" i="12" s="1"/>
  <c r="I23" i="12"/>
  <c r="J23" i="12" s="1"/>
  <c r="I25" i="12"/>
  <c r="J25" i="12" s="1"/>
  <c r="I26" i="12"/>
  <c r="J26" i="12" s="1"/>
  <c r="I27" i="12"/>
  <c r="J27" i="12" s="1"/>
  <c r="I28" i="12"/>
  <c r="J28" i="12" s="1"/>
  <c r="J29" i="12"/>
  <c r="I29" i="11"/>
  <c r="J29" i="11" s="1"/>
  <c r="I28" i="11"/>
  <c r="J28" i="11" s="1"/>
  <c r="I27" i="11"/>
  <c r="J27" i="11" s="1"/>
  <c r="J17" i="11"/>
  <c r="J16" i="11"/>
  <c r="J15" i="11"/>
  <c r="J13" i="11"/>
  <c r="I12" i="11"/>
  <c r="J12" i="11" s="1"/>
  <c r="J10" i="11"/>
  <c r="J9" i="11"/>
  <c r="I8" i="11"/>
  <c r="J8" i="11" s="1"/>
  <c r="I7" i="11"/>
  <c r="J7" i="11" s="1"/>
  <c r="I29" i="10"/>
  <c r="J29" i="10" s="1"/>
  <c r="I12" i="10"/>
  <c r="J12" i="10" s="1"/>
  <c r="I8" i="10"/>
  <c r="J8" i="10" s="1"/>
  <c r="I20" i="10"/>
  <c r="J20" i="10" s="1"/>
  <c r="I28" i="10"/>
  <c r="J28" i="10" s="1"/>
  <c r="I27" i="10"/>
  <c r="J27" i="10" s="1"/>
  <c r="I26" i="10"/>
  <c r="J26" i="10" s="1"/>
  <c r="I21" i="10"/>
  <c r="J21" i="10" s="1"/>
  <c r="I15" i="10"/>
  <c r="J15" i="10" s="1"/>
  <c r="J30" i="10"/>
  <c r="J18" i="10"/>
  <c r="J16" i="10"/>
  <c r="J9" i="10"/>
  <c r="J10" i="10"/>
  <c r="J13" i="10"/>
</calcChain>
</file>

<file path=xl/sharedStrings.xml><?xml version="1.0" encoding="utf-8"?>
<sst xmlns="http://schemas.openxmlformats.org/spreadsheetml/2006/main" count="347" uniqueCount="124">
  <si>
    <t>藥液分析日報表</t>
  </si>
  <si>
    <t>線別</t>
  </si>
  <si>
    <t>日期</t>
  </si>
  <si>
    <t>分析者</t>
  </si>
  <si>
    <t>工程變更</t>
  </si>
  <si>
    <t>線  別</t>
  </si>
  <si>
    <t>槽  位</t>
  </si>
  <si>
    <t>分析項目</t>
  </si>
  <si>
    <t>規格中值</t>
  </si>
  <si>
    <t>範   圍</t>
  </si>
  <si>
    <t>滴定數(ml)</t>
  </si>
  <si>
    <t>濃 度</t>
  </si>
  <si>
    <t>判  定</t>
  </si>
  <si>
    <t>ECR編號</t>
  </si>
  <si>
    <t>申請日期</t>
  </si>
  <si>
    <t>截止日期</t>
  </si>
  <si>
    <t>CHO (%)</t>
  </si>
  <si>
    <t>3±1</t>
  </si>
  <si>
    <t>~</t>
  </si>
  <si>
    <t>銅
copper</t>
  </si>
  <si>
    <t>銅離子 (g/L)</t>
  </si>
  <si>
    <t>&lt; 42</t>
  </si>
  <si>
    <t>溫度 (℃)</t>
  </si>
  <si>
    <t>-</t>
  </si>
  <si>
    <t>比重</t>
  </si>
  <si>
    <t>1.1±0.05</t>
  </si>
  <si>
    <t xml:space="preserve">&lt; 300 </t>
  </si>
  <si>
    <t xml:space="preserve">PH </t>
  </si>
  <si>
    <t>&gt; 5</t>
  </si>
  <si>
    <t>顯影線
(DV)</t>
  </si>
  <si>
    <t>碳酸鈉 (%)</t>
  </si>
  <si>
    <t>1±0.2</t>
  </si>
  <si>
    <t>PH</t>
  </si>
  <si>
    <t>新液洗
New liquid washing</t>
  </si>
  <si>
    <t>剝膜線
(ST)</t>
  </si>
  <si>
    <t>HO (%)</t>
  </si>
  <si>
    <t>12±2</t>
  </si>
  <si>
    <t>5±1</t>
  </si>
  <si>
    <t>快蝕線
(QE)</t>
  </si>
  <si>
    <t>酸 (%)</t>
  </si>
  <si>
    <t>雙氧水 (%)</t>
  </si>
  <si>
    <t>備註:</t>
  </si>
  <si>
    <t>QA-2-010-02A</t>
  </si>
  <si>
    <r>
      <rPr>
        <sz val="22"/>
        <rFont val="標楷體"/>
        <family val="4"/>
        <charset val="136"/>
      </rPr>
      <t>核准</t>
    </r>
    <r>
      <rPr>
        <sz val="22"/>
        <rFont val="新細明體"/>
        <family val="1"/>
        <charset val="136"/>
      </rPr>
      <t>：</t>
    </r>
  </si>
  <si>
    <t>確認：</t>
  </si>
  <si>
    <r>
      <rPr>
        <sz val="14"/>
        <rFont val="標楷體"/>
        <family val="4"/>
        <charset val="136"/>
      </rPr>
      <t>標準液</t>
    </r>
    <r>
      <rPr>
        <sz val="14"/>
        <rFont val="Times New Roman"/>
        <family val="1"/>
      </rPr>
      <t>F</t>
    </r>
    <r>
      <rPr>
        <sz val="14"/>
        <rFont val="標楷體"/>
        <family val="4"/>
        <charset val="136"/>
      </rPr>
      <t>值</t>
    </r>
  </si>
  <si>
    <t>0.4N HCl</t>
  </si>
  <si>
    <t>1 N NaOH</t>
  </si>
  <si>
    <t>0.05N EDTA</t>
  </si>
  <si>
    <t>0.1N  KMnO4</t>
  </si>
  <si>
    <t>粗化線
(PT)</t>
    <phoneticPr fontId="17" type="noConversion"/>
  </si>
  <si>
    <t>-</t>
    <phoneticPr fontId="17" type="noConversion"/>
  </si>
  <si>
    <t>4±1</t>
    <phoneticPr fontId="17" type="noConversion"/>
  </si>
  <si>
    <t>6±1.5</t>
    <phoneticPr fontId="17" type="noConversion"/>
  </si>
  <si>
    <t>硫酸洗
H2SO4</t>
    <phoneticPr fontId="17" type="noConversion"/>
  </si>
  <si>
    <t>新液洗
New liquid washing</t>
    <phoneticPr fontId="17" type="noConversion"/>
  </si>
  <si>
    <t>鹽酸洗
HCL</t>
    <phoneticPr fontId="17" type="noConversion"/>
  </si>
  <si>
    <t>銅
Copper</t>
    <phoneticPr fontId="17" type="noConversion"/>
  </si>
  <si>
    <t>抗氧化
Anti-oxidation</t>
    <phoneticPr fontId="17" type="noConversion"/>
  </si>
  <si>
    <t>脫脂槽
Degreasing</t>
    <phoneticPr fontId="17" type="noConversion"/>
  </si>
  <si>
    <t>液洗
Liquid washing</t>
    <phoneticPr fontId="17" type="noConversion"/>
  </si>
  <si>
    <t>Msap</t>
    <phoneticPr fontId="17" type="noConversion"/>
  </si>
  <si>
    <t>5±1</t>
    <phoneticPr fontId="17" type="noConversion"/>
  </si>
  <si>
    <t>22.5±12.5</t>
    <phoneticPr fontId="17" type="noConversion"/>
  </si>
  <si>
    <t>&gt; 10.7</t>
    <phoneticPr fontId="17" type="noConversion"/>
  </si>
  <si>
    <t>&gt;10.7</t>
    <phoneticPr fontId="17" type="noConversion"/>
  </si>
  <si>
    <t>.</t>
    <phoneticPr fontId="17" type="noConversion"/>
  </si>
  <si>
    <t>DV2</t>
    <phoneticPr fontId="17" type="noConversion"/>
  </si>
  <si>
    <t>PT2</t>
    <phoneticPr fontId="17" type="noConversion"/>
  </si>
  <si>
    <t>ST2</t>
    <phoneticPr fontId="17" type="noConversion"/>
  </si>
  <si>
    <t xml:space="preserve"> QE2</t>
    <phoneticPr fontId="17" type="noConversion"/>
  </si>
  <si>
    <t>酸洗</t>
    <phoneticPr fontId="17" type="noConversion"/>
  </si>
  <si>
    <t>1.5±1</t>
    <phoneticPr fontId="17" type="noConversion"/>
  </si>
  <si>
    <t>用NAOH滴定</t>
    <phoneticPr fontId="17" type="noConversion"/>
  </si>
  <si>
    <t>MO
(1滴)</t>
    <phoneticPr fontId="17" type="noConversion"/>
  </si>
  <si>
    <t>+</t>
    <phoneticPr fontId="17" type="noConversion"/>
  </si>
  <si>
    <t>藥液
(1 ml)</t>
    <phoneticPr fontId="17" type="noConversion"/>
  </si>
  <si>
    <t>硝酸化驗方式：</t>
    <phoneticPr fontId="17" type="noConversion"/>
  </si>
  <si>
    <t>硝酸 (%)</t>
    <phoneticPr fontId="17" type="noConversion"/>
  </si>
  <si>
    <t>線外配槽</t>
    <phoneticPr fontId="17" type="noConversion"/>
  </si>
  <si>
    <t>快蝕線
(QE)</t>
    <phoneticPr fontId="17" type="noConversion"/>
  </si>
  <si>
    <t>mSAP</t>
  </si>
  <si>
    <t>除鈀線
(DP)</t>
  </si>
  <si>
    <t>除鈀槽</t>
  </si>
  <si>
    <t>主劑 (ml/L)</t>
  </si>
  <si>
    <t>275±125</t>
  </si>
  <si>
    <t>SPS (g/L)</t>
  </si>
  <si>
    <t>0.55±0.25</t>
  </si>
  <si>
    <t>25~45</t>
  </si>
  <si>
    <t>10±0.2</t>
  </si>
  <si>
    <t>清潔槽</t>
  </si>
  <si>
    <t>鹼洗 (ml/L)</t>
  </si>
  <si>
    <t>100±20</t>
  </si>
  <si>
    <t>酸洗槽</t>
  </si>
  <si>
    <t>酸洗 (%)</t>
  </si>
  <si>
    <t>抗氧化</t>
  </si>
  <si>
    <t>202/2/26</t>
    <phoneticPr fontId="17" type="noConversion"/>
  </si>
  <si>
    <t xml:space="preserve"> </t>
    <phoneticPr fontId="22" type="noConversion"/>
  </si>
  <si>
    <t>NS-357</t>
    <phoneticPr fontId="17" type="noConversion"/>
  </si>
  <si>
    <t>硝酸 (%)</t>
  </si>
  <si>
    <t>4±1</t>
  </si>
  <si>
    <t>1.5±1</t>
  </si>
  <si>
    <t>5±2</t>
  </si>
  <si>
    <t>抗氧化
Anti-oxidation</t>
  </si>
  <si>
    <t>未取樣</t>
  </si>
  <si>
    <t>酸洗</t>
  </si>
  <si>
    <t>液洗(1)
Liquid washing</t>
    <phoneticPr fontId="17" type="noConversion"/>
  </si>
  <si>
    <t>液洗(2)
Liquid washing</t>
    <phoneticPr fontId="17" type="noConversion"/>
  </si>
  <si>
    <t>液洗(3)
New liquid washing</t>
    <phoneticPr fontId="17" type="noConversion"/>
  </si>
  <si>
    <t>添加桶(5)</t>
    <phoneticPr fontId="17" type="noConversion"/>
  </si>
  <si>
    <t>添加桶(6)</t>
    <phoneticPr fontId="17" type="noConversion"/>
  </si>
  <si>
    <t>硫酸洗(4)
H2SO3</t>
    <phoneticPr fontId="17" type="noConversion"/>
  </si>
  <si>
    <t xml:space="preserve"> 添加桶
New liquid washing</t>
    <phoneticPr fontId="17" type="noConversion"/>
  </si>
  <si>
    <t>ST小槽
New liquid washing</t>
    <phoneticPr fontId="17" type="noConversion"/>
  </si>
  <si>
    <t>2601002</t>
    <phoneticPr fontId="17" type="noConversion"/>
  </si>
  <si>
    <t>3±1</t>
    <phoneticPr fontId="17" type="noConversion"/>
  </si>
  <si>
    <t>15±2</t>
    <phoneticPr fontId="17" type="noConversion"/>
  </si>
  <si>
    <t>ECR</t>
    <phoneticPr fontId="17" type="noConversion"/>
  </si>
  <si>
    <t>12±2</t>
    <phoneticPr fontId="17" type="noConversion"/>
  </si>
  <si>
    <t>克里斯</t>
    <phoneticPr fontId="17" type="noConversion"/>
  </si>
  <si>
    <t xml:space="preserve"> </t>
    <phoneticPr fontId="17" type="noConversion"/>
  </si>
  <si>
    <t>劉思妤</t>
    <phoneticPr fontId="17" type="noConversion"/>
  </si>
  <si>
    <t>曝氣:0.242</t>
    <phoneticPr fontId="22" type="noConversion"/>
  </si>
  <si>
    <t>打氣:0.239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</si>
</sst>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76" formatCode="0.0"/>
    <numFmt numFmtId="177" formatCode="0.00_ "/>
  </numFmts>
  <fonts count="29" x14ac:knownFonts="1">
    <font>
      <sz val="12"/>
      <name val="新細明體"/>
      <charset val="136"/>
    </font>
    <font>
      <sz val="14"/>
      <name val="Times New Roman"/>
      <family val="1"/>
    </font>
    <font>
      <sz val="12"/>
      <name val="Times New Roman"/>
      <family val="1"/>
    </font>
    <font>
      <sz val="14"/>
      <name val="標楷體"/>
      <family val="4"/>
      <charset val="136"/>
    </font>
    <font>
      <sz val="14"/>
      <name val="新細明體"/>
      <family val="1"/>
      <charset val="136"/>
    </font>
    <font>
      <b/>
      <sz val="12"/>
      <name val="Times New Roman"/>
      <family val="1"/>
    </font>
    <font>
      <sz val="22"/>
      <name val="標楷體"/>
      <family val="4"/>
      <charset val="136"/>
    </font>
    <font>
      <sz val="18"/>
      <name val="標楷體"/>
      <family val="4"/>
      <charset val="136"/>
    </font>
    <font>
      <sz val="36"/>
      <name val="標楷體"/>
      <family val="4"/>
      <charset val="136"/>
    </font>
    <font>
      <sz val="22"/>
      <name val="微軟正黑體"/>
      <family val="2"/>
      <charset val="136"/>
    </font>
    <font>
      <b/>
      <sz val="22"/>
      <name val="標楷體"/>
      <family val="4"/>
      <charset val="136"/>
    </font>
    <font>
      <sz val="18"/>
      <color rgb="FF0000FF"/>
      <name val="標楷體"/>
      <family val="4"/>
      <charset val="136"/>
    </font>
    <font>
      <sz val="18"/>
      <color theme="1"/>
      <name val="標楷體"/>
      <family val="4"/>
      <charset val="136"/>
    </font>
    <font>
      <sz val="18"/>
      <color rgb="FFFF0000"/>
      <name val="標楷體"/>
      <family val="4"/>
      <charset val="136"/>
    </font>
    <font>
      <sz val="24"/>
      <color rgb="FF0000FF"/>
      <name val="標楷體"/>
      <family val="4"/>
      <charset val="136"/>
    </font>
    <font>
      <sz val="2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22"/>
      <color theme="0"/>
      <name val="標楷體"/>
      <family val="4"/>
      <charset val="136"/>
    </font>
    <font>
      <sz val="28"/>
      <name val="標楷體"/>
      <family val="4"/>
      <charset val="136"/>
    </font>
    <font>
      <sz val="72"/>
      <color rgb="FF0000FF"/>
      <name val="標楷體"/>
      <family val="4"/>
      <charset val="136"/>
    </font>
    <font>
      <sz val="36"/>
      <color rgb="FF0000FF"/>
      <name val="標楷體"/>
      <family val="4"/>
      <charset val="136"/>
    </font>
    <font>
      <sz val="9"/>
      <name val="新細明體"/>
      <family val="1"/>
      <charset val="136"/>
    </font>
    <font>
      <sz val="22"/>
      <color theme="1"/>
      <name val="標楷體"/>
      <family val="4"/>
      <charset val="136"/>
    </font>
    <font>
      <b/>
      <sz val="24"/>
      <color rgb="FFFF0000"/>
      <name val="標楷體"/>
      <family val="4"/>
      <charset val="136"/>
    </font>
    <font>
      <sz val="24"/>
      <name val="標楷體"/>
      <family val="4"/>
      <charset val="136"/>
    </font>
    <font>
      <b/>
      <sz val="22"/>
      <color rgb="FFFF0000"/>
      <name val="標楷體"/>
      <family val="4"/>
      <charset val="136"/>
    </font>
    <font>
      <sz val="22"/>
      <color rgb="FFFF0000"/>
      <name val="標楷體"/>
      <family val="4"/>
      <charset val="136"/>
    </font>
    <font>
      <sz val="24"/>
      <color rgb="FFFF0000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3408001953185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76" fontId="10" fillId="0" borderId="4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9" fontId="6" fillId="0" borderId="4" xfId="1" applyFont="1" applyFill="1" applyBorder="1" applyAlignment="1" applyProtection="1">
      <alignment horizontal="center" vertical="center"/>
      <protection locked="0"/>
    </xf>
    <xf numFmtId="0" fontId="6" fillId="0" borderId="7" xfId="1" applyNumberFormat="1" applyFont="1" applyFill="1" applyBorder="1" applyAlignment="1" applyProtection="1">
      <alignment horizontal="center" vertical="center"/>
      <protection locked="0"/>
    </xf>
    <xf numFmtId="176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176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176" fontId="6" fillId="0" borderId="6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176" fontId="10" fillId="0" borderId="13" xfId="0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176" fontId="10" fillId="0" borderId="8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176" fontId="10" fillId="0" borderId="10" xfId="0" applyNumberFormat="1" applyFont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center" vertical="center" wrapText="1"/>
      <protection locked="0"/>
    </xf>
    <xf numFmtId="0" fontId="6" fillId="4" borderId="10" xfId="0" applyFont="1" applyFill="1" applyBorder="1" applyAlignment="1" applyProtection="1">
      <alignment horizontal="center" vertical="center" wrapText="1"/>
      <protection locked="0"/>
    </xf>
    <xf numFmtId="0" fontId="6" fillId="5" borderId="10" xfId="0" applyFont="1" applyFill="1" applyBorder="1" applyAlignment="1" applyProtection="1">
      <alignment horizontal="center" vertical="center" wrapText="1"/>
      <protection locked="0"/>
    </xf>
    <xf numFmtId="176" fontId="10" fillId="0" borderId="9" xfId="0" applyNumberFormat="1" applyFont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Border="1" applyProtection="1">
      <alignment vertical="center"/>
      <protection locked="0"/>
    </xf>
    <xf numFmtId="0" fontId="6" fillId="0" borderId="16" xfId="0" applyFont="1" applyBorder="1" applyProtection="1">
      <alignment vertical="center"/>
      <protection locked="0"/>
    </xf>
    <xf numFmtId="0" fontId="6" fillId="0" borderId="14" xfId="0" applyFont="1" applyBorder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2" fontId="10" fillId="0" borderId="5" xfId="0" applyNumberFormat="1" applyFont="1" applyBorder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/>
      <protection locked="0"/>
    </xf>
    <xf numFmtId="177" fontId="6" fillId="0" borderId="8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 applyProtection="1">
      <alignment horizontal="center" vertical="center"/>
      <protection locked="0"/>
    </xf>
    <xf numFmtId="2" fontId="10" fillId="0" borderId="11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2" fontId="10" fillId="0" borderId="6" xfId="0" applyNumberFormat="1" applyFont="1" applyBorder="1" applyAlignment="1" applyProtection="1">
      <alignment horizontal="center" vertical="center"/>
      <protection locked="0"/>
    </xf>
    <xf numFmtId="177" fontId="6" fillId="0" borderId="7" xfId="0" applyNumberFormat="1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2" fontId="10" fillId="0" borderId="10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 applyProtection="1">
      <alignment horizontal="center" vertical="center"/>
      <protection locked="0"/>
    </xf>
    <xf numFmtId="2" fontId="10" fillId="0" borderId="8" xfId="0" applyNumberFormat="1" applyFont="1" applyBorder="1" applyAlignment="1">
      <alignment horizontal="center" vertical="center"/>
    </xf>
    <xf numFmtId="14" fontId="13" fillId="0" borderId="0" xfId="0" applyNumberFormat="1" applyFont="1" applyAlignment="1" applyProtection="1">
      <alignment horizontal="center" vertical="center"/>
      <protection locked="0"/>
    </xf>
    <xf numFmtId="2" fontId="10" fillId="0" borderId="4" xfId="0" applyNumberFormat="1" applyFont="1" applyBorder="1" applyAlignment="1" applyProtection="1">
      <alignment horizontal="center" vertical="center"/>
      <protection locked="0"/>
    </xf>
    <xf numFmtId="2" fontId="10" fillId="0" borderId="13" xfId="0" applyNumberFormat="1" applyFont="1" applyBorder="1" applyAlignment="1">
      <alignment horizontal="center" vertical="center"/>
    </xf>
    <xf numFmtId="2" fontId="10" fillId="6" borderId="8" xfId="0" applyNumberFormat="1" applyFont="1" applyFill="1" applyBorder="1" applyAlignment="1">
      <alignment horizontal="center" vertical="center"/>
    </xf>
    <xf numFmtId="0" fontId="14" fillId="0" borderId="14" xfId="0" applyFont="1" applyBorder="1" applyProtection="1">
      <alignment vertical="center"/>
      <protection locked="0"/>
    </xf>
    <xf numFmtId="2" fontId="10" fillId="6" borderId="4" xfId="0" applyNumberFormat="1" applyFont="1" applyFill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14" fontId="11" fillId="0" borderId="0" xfId="0" applyNumberFormat="1" applyFont="1" applyAlignment="1" applyProtection="1">
      <alignment horizontal="center" vertical="center"/>
      <protection locked="0"/>
    </xf>
    <xf numFmtId="0" fontId="6" fillId="0" borderId="12" xfId="0" applyFont="1" applyBorder="1" applyProtection="1">
      <alignment vertical="center"/>
      <protection locked="0"/>
    </xf>
    <xf numFmtId="0" fontId="6" fillId="0" borderId="15" xfId="0" applyFont="1" applyBorder="1" applyProtection="1">
      <alignment vertical="center"/>
      <protection locked="0"/>
    </xf>
    <xf numFmtId="177" fontId="6" fillId="0" borderId="18" xfId="0" applyNumberFormat="1" applyFont="1" applyBorder="1" applyAlignment="1">
      <alignment horizontal="center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5" xfId="1" applyNumberFormat="1" applyFont="1" applyFill="1" applyBorder="1" applyAlignment="1" applyProtection="1">
      <alignment horizontal="center" vertical="center"/>
      <protection locked="0"/>
    </xf>
    <xf numFmtId="0" fontId="6" fillId="0" borderId="4" xfId="1" applyNumberFormat="1" applyFont="1" applyFill="1" applyBorder="1" applyAlignment="1" applyProtection="1">
      <alignment horizontal="center" vertical="center"/>
      <protection locked="0"/>
    </xf>
    <xf numFmtId="0" fontId="20" fillId="0" borderId="14" xfId="0" applyFont="1" applyBorder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2" fontId="10" fillId="0" borderId="18" xfId="0" applyNumberFormat="1" applyFont="1" applyBorder="1" applyAlignment="1" applyProtection="1">
      <alignment horizontal="center" vertical="center"/>
      <protection locked="0"/>
    </xf>
    <xf numFmtId="176" fontId="6" fillId="0" borderId="18" xfId="0" applyNumberFormat="1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5" borderId="18" xfId="0" applyFont="1" applyFill="1" applyBorder="1" applyAlignment="1" applyProtection="1">
      <alignment horizontal="center" vertical="center" wrapText="1"/>
      <protection locked="0"/>
    </xf>
    <xf numFmtId="2" fontId="10" fillId="6" borderId="18" xfId="0" applyNumberFormat="1" applyFont="1" applyFill="1" applyBorder="1" applyAlignment="1">
      <alignment horizontal="center" vertical="center"/>
    </xf>
    <xf numFmtId="176" fontId="10" fillId="0" borderId="18" xfId="0" applyNumberFormat="1" applyFont="1" applyBorder="1" applyAlignment="1" applyProtection="1">
      <alignment horizontal="center" vertical="center"/>
      <protection locked="0"/>
    </xf>
    <xf numFmtId="0" fontId="6" fillId="5" borderId="10" xfId="0" applyFont="1" applyFill="1" applyBorder="1" applyProtection="1">
      <alignment vertical="center"/>
      <protection locked="0"/>
    </xf>
    <xf numFmtId="0" fontId="23" fillId="0" borderId="5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Protection="1">
      <alignment vertical="center"/>
      <protection locked="0"/>
    </xf>
    <xf numFmtId="0" fontId="6" fillId="4" borderId="18" xfId="0" applyFont="1" applyFill="1" applyBorder="1" applyAlignment="1" applyProtection="1">
      <alignment horizontal="center" vertical="center" wrapText="1"/>
      <protection locked="0"/>
    </xf>
    <xf numFmtId="9" fontId="6" fillId="0" borderId="18" xfId="1" applyFont="1" applyFill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6" fillId="7" borderId="18" xfId="0" applyFont="1" applyFill="1" applyBorder="1" applyAlignment="1" applyProtection="1">
      <alignment horizontal="center" vertical="center" wrapText="1"/>
      <protection locked="0"/>
    </xf>
    <xf numFmtId="0" fontId="6" fillId="0" borderId="5" xfId="1" applyNumberFormat="1" applyFont="1" applyFill="1" applyBorder="1" applyAlignment="1" applyProtection="1">
      <alignment horizontal="center" vertical="center"/>
      <protection locked="0"/>
    </xf>
    <xf numFmtId="0" fontId="6" fillId="7" borderId="18" xfId="0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14" fontId="2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/>
    </xf>
    <xf numFmtId="14" fontId="6" fillId="0" borderId="5" xfId="0" applyNumberFormat="1" applyFont="1" applyBorder="1" applyAlignment="1" applyProtection="1">
      <alignment horizontal="left" vertical="center"/>
      <protection locked="0"/>
    </xf>
    <xf numFmtId="14" fontId="6" fillId="0" borderId="6" xfId="0" applyNumberFormat="1" applyFont="1" applyBorder="1" applyAlignment="1" applyProtection="1">
      <alignment horizontal="left" vertical="center"/>
      <protection locked="0"/>
    </xf>
    <xf numFmtId="14" fontId="6" fillId="0" borderId="7" xfId="0" applyNumberFormat="1" applyFont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14" xfId="0" applyFont="1" applyBorder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19" fillId="0" borderId="6" xfId="0" applyFont="1" applyBorder="1" applyProtection="1">
      <alignment vertical="center"/>
      <protection locked="0"/>
    </xf>
    <xf numFmtId="0" fontId="19" fillId="0" borderId="7" xfId="0" applyFont="1" applyBorder="1" applyProtection="1">
      <alignment vertical="center"/>
      <protection locked="0"/>
    </xf>
    <xf numFmtId="14" fontId="6" fillId="0" borderId="6" xfId="0" applyNumberFormat="1" applyFont="1" applyBorder="1" applyProtection="1">
      <alignment vertical="center"/>
      <protection locked="0"/>
    </xf>
    <xf numFmtId="14" fontId="6" fillId="0" borderId="7" xfId="0" applyNumberFormat="1" applyFont="1" applyBorder="1" applyProtection="1">
      <alignment vertical="center"/>
      <protection locked="0"/>
    </xf>
    <xf numFmtId="0" fontId="6" fillId="0" borderId="5" xfId="0" applyFont="1" applyBorder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7" xfId="0" applyFont="1" applyBorder="1" applyProtection="1">
      <alignment vertical="center"/>
      <protection locked="0"/>
    </xf>
    <xf numFmtId="14" fontId="6" fillId="0" borderId="5" xfId="0" applyNumberFormat="1" applyFont="1" applyBorder="1" applyAlignment="1" applyProtection="1">
      <alignment horizontal="left" vertical="top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15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17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6" fillId="4" borderId="8" xfId="0" applyFont="1" applyFill="1" applyBorder="1" applyAlignment="1" applyProtection="1">
      <alignment horizontal="center" vertical="center" wrapText="1"/>
      <protection locked="0"/>
    </xf>
    <xf numFmtId="0" fontId="6" fillId="4" borderId="9" xfId="0" applyFont="1" applyFill="1" applyBorder="1" applyAlignment="1" applyProtection="1">
      <alignment horizontal="center" vertical="center" wrapText="1"/>
      <protection locked="0"/>
    </xf>
    <xf numFmtId="0" fontId="6" fillId="4" borderId="10" xfId="0" applyFont="1" applyFill="1" applyBorder="1" applyAlignment="1" applyProtection="1">
      <alignment horizontal="center" vertical="center" wrapText="1"/>
      <protection locked="0"/>
    </xf>
    <xf numFmtId="0" fontId="6" fillId="5" borderId="8" xfId="0" applyFont="1" applyFill="1" applyBorder="1" applyAlignment="1" applyProtection="1">
      <alignment horizontal="center" vertical="center" wrapText="1"/>
      <protection locked="0"/>
    </xf>
    <xf numFmtId="0" fontId="6" fillId="5" borderId="9" xfId="0" applyFont="1" applyFill="1" applyBorder="1" applyAlignment="1" applyProtection="1">
      <alignment horizontal="center" vertical="center" wrapText="1"/>
      <protection locked="0"/>
    </xf>
    <xf numFmtId="0" fontId="6" fillId="5" borderId="10" xfId="0" applyFont="1" applyFill="1" applyBorder="1" applyAlignment="1" applyProtection="1">
      <alignment horizontal="center" vertical="center" wrapText="1"/>
      <protection locked="0"/>
    </xf>
    <xf numFmtId="0" fontId="6" fillId="5" borderId="9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6" fillId="3" borderId="14" xfId="0" applyFont="1" applyFill="1" applyBorder="1" applyAlignment="1" applyProtection="1">
      <alignment horizontal="center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6" fillId="3" borderId="8" xfId="0" applyFont="1" applyFill="1" applyBorder="1" applyAlignment="1" applyProtection="1">
      <alignment horizontal="center" vertical="center" wrapText="1"/>
      <protection locked="0"/>
    </xf>
    <xf numFmtId="0" fontId="6" fillId="3" borderId="10" xfId="0" applyFont="1" applyFill="1" applyBorder="1" applyAlignment="1" applyProtection="1">
      <alignment horizontal="center" vertical="center" wrapText="1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15" xfId="0" applyFont="1" applyBorder="1" applyAlignment="1" applyProtection="1">
      <alignment horizontal="left" vertical="top" wrapText="1"/>
      <protection locked="0"/>
    </xf>
    <xf numFmtId="0" fontId="6" fillId="0" borderId="13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17" xfId="0" applyFont="1" applyBorder="1" applyAlignment="1" applyProtection="1">
      <alignment horizontal="left" vertical="top" wrapText="1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0" borderId="15" xfId="0" applyFont="1" applyBorder="1" applyAlignment="1" applyProtection="1">
      <alignment horizontal="left" vertical="top"/>
      <protection locked="0"/>
    </xf>
    <xf numFmtId="0" fontId="6" fillId="0" borderId="13" xfId="0" applyFont="1" applyBorder="1" applyAlignment="1" applyProtection="1">
      <alignment horizontal="left" vertical="top"/>
      <protection locked="0"/>
    </xf>
    <xf numFmtId="0" fontId="6" fillId="0" borderId="3" xfId="0" applyFont="1" applyBorder="1" applyAlignment="1" applyProtection="1">
      <alignment horizontal="left" vertical="top"/>
      <protection locked="0"/>
    </xf>
    <xf numFmtId="0" fontId="6" fillId="0" borderId="17" xfId="0" applyFont="1" applyBorder="1" applyAlignment="1" applyProtection="1">
      <alignment horizontal="left" vertical="top"/>
      <protection locked="0"/>
    </xf>
    <xf numFmtId="0" fontId="6" fillId="7" borderId="8" xfId="0" applyFont="1" applyFill="1" applyBorder="1" applyAlignment="1" applyProtection="1">
      <alignment horizontal="center" vertical="center" wrapText="1"/>
      <protection locked="0"/>
    </xf>
    <xf numFmtId="0" fontId="6" fillId="7" borderId="9" xfId="0" applyFont="1" applyFill="1" applyBorder="1" applyAlignment="1" applyProtection="1">
      <alignment horizontal="center" vertical="center" wrapText="1"/>
      <protection locked="0"/>
    </xf>
    <xf numFmtId="0" fontId="6" fillId="7" borderId="18" xfId="0" applyFont="1" applyFill="1" applyBorder="1" applyAlignment="1" applyProtection="1">
      <alignment horizontal="center" vertical="center" wrapText="1"/>
      <protection locked="0"/>
    </xf>
  </cellXfs>
  <cellStyles count="3">
    <cellStyle name="一般" xfId="0" builtinId="0"/>
    <cellStyle name="百分比" xfId="1" builtinId="5"/>
    <cellStyle name="貨幣 2" xfId="2" xr:uid="{00000000-0005-0000-0000-000002000000}"/>
  </cellStyles>
  <dxfs count="8">
    <dxf>
      <font>
        <color theme="1"/>
      </font>
    </dxf>
    <dxf>
      <font>
        <b/>
        <i val="0"/>
        <color rgb="FFFF0000"/>
      </font>
      <fill>
        <patternFill patternType="none"/>
      </fill>
    </dxf>
    <dxf>
      <font>
        <color theme="1"/>
      </font>
    </dxf>
    <dxf>
      <font>
        <b/>
        <i val="0"/>
        <color rgb="FFFF0000"/>
      </font>
      <fill>
        <patternFill patternType="none"/>
      </fill>
    </dxf>
    <dxf>
      <font>
        <color theme="1"/>
      </font>
    </dxf>
    <dxf>
      <font>
        <b/>
        <i val="0"/>
        <color rgb="FFFF0000"/>
      </font>
      <fill>
        <patternFill patternType="none"/>
      </fill>
    </dxf>
    <dxf>
      <font>
        <color theme="1"/>
      </font>
    </dxf>
    <dxf>
      <font>
        <b/>
        <i val="0"/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0000FF"/>
      <color rgb="FFFFCCFF"/>
      <color rgb="FFFF99CC"/>
      <color rgb="FF00FFFF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8400" cy="42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2</xdr:row>
      <xdr:rowOff>5700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AAECC2D-06CD-4A74-8CDC-F3547EC6BD4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8400" cy="42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67925" cy="616763"/>
    <xdr:pic>
      <xdr:nvPicPr>
        <xdr:cNvPr id="2" name="圖片 1">
          <a:extLst>
            <a:ext uri="{FF2B5EF4-FFF2-40B4-BE49-F238E27FC236}">
              <a16:creationId xmlns:a16="http://schemas.microsoft.com/office/drawing/2014/main" id="{13601E17-6686-4BCB-BAE1-D85278D5F84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67925" cy="61676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FE77BD2-C1A8-4420-B3BD-58A9FEC2DD7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iahui\Desktop\ST%20QE&#23567;&#27133;.xlsx" TargetMode="External"/><Relationship Id="rId1" Type="http://schemas.openxmlformats.org/officeDocument/2006/relationships/externalLinkPath" Target="file:///C:\Users\chiahui\Desktop\ST%20QE&#23567;&#2713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00_&#20844;&#20849;&#29992;&#36039;&#26009;&#22846;\01_&#21508;&#37096;&#38272;&#20844;&#38283;&#36039;&#35338;\06_&#21697;&#20445;&#37096;&#20844;&#38283;&#36039;&#35338;\03_QC\01_IQC.IPQC\&#35069;&#20108;&#34277;&#27700;&#20998;&#26512;\IPQC-&#35069;&#20108;&#35506;&#20998;&#26512;&#35352;&#37636;&#34920;\2025&#24180;\12&#26376;\2025-12-4-0835.xlsx" TargetMode="External"/><Relationship Id="rId1" Type="http://schemas.openxmlformats.org/officeDocument/2006/relationships/externalLinkPath" Target="file:///Z:\&#21697;&#20445;&#37096;\03_QC\01_IQC.IPQC\&#35069;&#20108;&#34277;&#27700;&#20998;&#26512;\IPQC-&#35069;&#20108;&#35506;&#20998;&#26512;&#35352;&#37636;&#34920;\2025&#24180;\12&#26376;\2025-12-4-083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00_&#20844;&#20849;&#29992;&#36039;&#26009;&#22846;\01_&#21508;&#37096;&#38272;&#20844;&#38283;&#36039;&#35338;\06_&#21697;&#20445;&#37096;&#20844;&#38283;&#36039;&#35338;\03_QC\01_IQC.IPQC\&#38500;&#37376;&#34277;&#27700;&#20998;&#26512;\DP&#20998;&#26512;&#35352;&#37636;&#34920;\114&#24180;\12&#26376;\2025-12-10.xlsx" TargetMode="External"/><Relationship Id="rId1" Type="http://schemas.openxmlformats.org/officeDocument/2006/relationships/externalLinkPath" Target="file:///P:\00_&#20844;&#20849;&#29992;&#36039;&#26009;&#22846;\01_&#21508;&#37096;&#38272;&#20844;&#38283;&#36039;&#35338;\06_&#21697;&#20445;&#37096;&#20844;&#38283;&#36039;&#35338;\03_QC\01_IQC.IPQC\&#38500;&#37376;&#34277;&#27700;&#20998;&#26512;\DP&#20998;&#26512;&#35352;&#37636;&#34920;\114&#24180;\12&#26376;\2025-12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值"/>
    </sheetNames>
    <sheetDataSet>
      <sheetData sheetId="0" refreshError="1">
        <row r="3">
          <cell r="B3">
            <v>0.97499999999999998</v>
          </cell>
        </row>
        <row r="4">
          <cell r="B4">
            <v>0.98</v>
          </cell>
        </row>
        <row r="5">
          <cell r="B5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 日分析表"/>
      <sheetName val="F值"/>
    </sheetNames>
    <sheetDataSet>
      <sheetData sheetId="0"/>
      <sheetData sheetId="1">
        <row r="3">
          <cell r="B3">
            <v>0.97499999999999998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 日分析表"/>
      <sheetName val="新線分析表"/>
      <sheetName val="小槽"/>
      <sheetName val="除鈀"/>
      <sheetName val="F值"/>
    </sheetNames>
    <sheetDataSet>
      <sheetData sheetId="0"/>
      <sheetData sheetId="1"/>
      <sheetData sheetId="2"/>
      <sheetData sheetId="3"/>
      <sheetData sheetId="4">
        <row r="4">
          <cell r="B4">
            <v>0.98</v>
          </cell>
        </row>
        <row r="6">
          <cell r="B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7"/>
    <pageSetUpPr fitToPage="1"/>
  </sheetPr>
  <dimension ref="A1:Y37"/>
  <sheetViews>
    <sheetView showGridLines="0" topLeftCell="A19" zoomScale="40" zoomScaleNormal="40" workbookViewId="0">
      <selection activeCell="I13" sqref="I13"/>
    </sheetView>
  </sheetViews>
  <sheetFormatPr defaultColWidth="9" defaultRowHeight="30" x14ac:dyDescent="0.25"/>
  <cols>
    <col min="1" max="1" width="14.25" style="11" customWidth="1"/>
    <col min="2" max="2" width="27.875" style="11" customWidth="1"/>
    <col min="3" max="3" width="28.875" style="12" customWidth="1"/>
    <col min="4" max="4" width="21.625" style="11" customWidth="1"/>
    <col min="5" max="5" width="10.625" style="11" customWidth="1"/>
    <col min="6" max="6" width="7.625" style="11" customWidth="1"/>
    <col min="7" max="7" width="10.625" style="11" customWidth="1"/>
    <col min="8" max="9" width="21.625" style="11" customWidth="1"/>
    <col min="10" max="10" width="21.625" style="12" customWidth="1"/>
    <col min="11" max="11" width="32.75" style="13" customWidth="1"/>
    <col min="12" max="13" width="30.125" style="13" customWidth="1"/>
    <col min="14" max="14" width="21.625" style="3" customWidth="1"/>
    <col min="15" max="16384" width="9" style="3"/>
  </cols>
  <sheetData>
    <row r="1" spans="1:13" ht="27.75" customHeight="1" x14ac:dyDescent="0.25">
      <c r="A1" s="153"/>
      <c r="B1" s="153"/>
      <c r="C1" s="153"/>
      <c r="D1" s="153"/>
      <c r="E1" s="153"/>
      <c r="F1" s="153"/>
      <c r="G1" s="153"/>
      <c r="H1" s="153"/>
      <c r="I1" s="153"/>
    </row>
    <row r="2" spans="1:13" ht="50.25" x14ac:dyDescent="0.75">
      <c r="A2" s="154" t="s">
        <v>0</v>
      </c>
      <c r="B2" s="154"/>
      <c r="C2" s="154"/>
      <c r="D2" s="154"/>
      <c r="E2" s="154"/>
      <c r="F2" s="154"/>
      <c r="G2" s="154"/>
      <c r="H2" s="154"/>
      <c r="I2" s="154"/>
      <c r="J2" s="154"/>
    </row>
    <row r="3" spans="1:13" ht="35.1" customHeight="1" x14ac:dyDescent="0.25">
      <c r="A3" s="14" t="s">
        <v>1</v>
      </c>
      <c r="B3" s="155" t="s">
        <v>61</v>
      </c>
      <c r="C3" s="156"/>
      <c r="D3" s="156"/>
      <c r="E3" s="156"/>
      <c r="F3" s="156"/>
      <c r="G3" s="156"/>
      <c r="H3" s="156"/>
      <c r="I3" s="156"/>
      <c r="J3" s="157"/>
    </row>
    <row r="4" spans="1:13" ht="35.1" customHeight="1" x14ac:dyDescent="0.25">
      <c r="A4" s="14" t="s">
        <v>2</v>
      </c>
      <c r="B4" s="104">
        <v>46136</v>
      </c>
      <c r="C4" s="105"/>
      <c r="D4" s="105"/>
      <c r="E4" s="105"/>
      <c r="F4" s="105"/>
      <c r="G4" s="105"/>
      <c r="H4" s="105"/>
      <c r="I4" s="105"/>
      <c r="J4" s="106"/>
    </row>
    <row r="5" spans="1:13" ht="35.1" customHeight="1" x14ac:dyDescent="0.25">
      <c r="A5" s="14" t="s">
        <v>3</v>
      </c>
      <c r="B5" s="111" t="s">
        <v>119</v>
      </c>
      <c r="C5" s="112"/>
      <c r="D5" s="112"/>
      <c r="E5" s="112"/>
      <c r="F5" s="112"/>
      <c r="G5" s="112"/>
      <c r="H5" s="112"/>
      <c r="I5" s="112"/>
      <c r="J5" s="113"/>
      <c r="K5" s="151" t="s">
        <v>4</v>
      </c>
      <c r="L5" s="152"/>
      <c r="M5" s="152"/>
    </row>
    <row r="6" spans="1:13" ht="35.1" customHeight="1" x14ac:dyDescent="0.25">
      <c r="A6" s="14" t="s">
        <v>5</v>
      </c>
      <c r="B6" s="14" t="s">
        <v>6</v>
      </c>
      <c r="C6" s="15" t="s">
        <v>7</v>
      </c>
      <c r="D6" s="15" t="s">
        <v>8</v>
      </c>
      <c r="E6" s="137" t="s">
        <v>9</v>
      </c>
      <c r="F6" s="138"/>
      <c r="G6" s="139"/>
      <c r="H6" s="15" t="s">
        <v>10</v>
      </c>
      <c r="I6" s="16" t="s">
        <v>11</v>
      </c>
      <c r="J6" s="15" t="s">
        <v>12</v>
      </c>
      <c r="K6" s="13" t="s">
        <v>13</v>
      </c>
      <c r="L6" s="13" t="s">
        <v>14</v>
      </c>
      <c r="M6" s="13" t="s">
        <v>15</v>
      </c>
    </row>
    <row r="7" spans="1:13" ht="60" customHeight="1" x14ac:dyDescent="0.25">
      <c r="A7" s="140" t="s">
        <v>50</v>
      </c>
      <c r="B7" s="18" t="s">
        <v>59</v>
      </c>
      <c r="C7" s="14" t="s">
        <v>16</v>
      </c>
      <c r="D7" s="14" t="s">
        <v>17</v>
      </c>
      <c r="E7" s="19">
        <v>2</v>
      </c>
      <c r="F7" s="20" t="s">
        <v>18</v>
      </c>
      <c r="G7" s="21">
        <v>4</v>
      </c>
      <c r="H7" s="22"/>
      <c r="I7" s="52" t="str">
        <f>IF(H7="","",3.2*H7*F值!B4)</f>
        <v/>
      </c>
      <c r="J7" s="75" t="str">
        <f>IF(I7="","未取樣",IF(OR(I7&lt;E7,I7&gt;G7),"NG","OK"))</f>
        <v>未取樣</v>
      </c>
      <c r="L7" s="53"/>
      <c r="M7" s="53"/>
    </row>
    <row r="8" spans="1:13" ht="60" customHeight="1" x14ac:dyDescent="0.25">
      <c r="A8" s="141"/>
      <c r="B8" s="141" t="s">
        <v>57</v>
      </c>
      <c r="C8" s="23" t="s">
        <v>20</v>
      </c>
      <c r="D8" s="24" t="s">
        <v>21</v>
      </c>
      <c r="E8" s="78">
        <v>0</v>
      </c>
      <c r="F8" s="20" t="s">
        <v>18</v>
      </c>
      <c r="G8" s="25">
        <v>42</v>
      </c>
      <c r="H8" s="22"/>
      <c r="I8" s="52" t="str">
        <f>IF(H8="","",3.177*H8*F值!B5)</f>
        <v/>
      </c>
      <c r="J8" s="75" t="str">
        <f t="shared" ref="J8:J30" si="0">IF(I8="","未取樣",IF(OR(I8&lt;E8,I8&gt;G8),"NG","OK"))</f>
        <v>未取樣</v>
      </c>
      <c r="L8" s="53"/>
      <c r="M8" s="53"/>
    </row>
    <row r="9" spans="1:13" ht="60" customHeight="1" x14ac:dyDescent="0.25">
      <c r="A9" s="141"/>
      <c r="B9" s="142"/>
      <c r="C9" s="14" t="s">
        <v>22</v>
      </c>
      <c r="D9" s="14" t="s">
        <v>23</v>
      </c>
      <c r="E9" s="19">
        <v>25</v>
      </c>
      <c r="F9" s="20" t="s">
        <v>18</v>
      </c>
      <c r="G9" s="21">
        <v>35</v>
      </c>
      <c r="H9" s="22" t="s">
        <v>51</v>
      </c>
      <c r="I9" s="55"/>
      <c r="J9" s="75" t="str">
        <f t="shared" si="0"/>
        <v>未取樣</v>
      </c>
      <c r="L9" s="53"/>
      <c r="M9" s="53"/>
    </row>
    <row r="10" spans="1:13" ht="60" customHeight="1" x14ac:dyDescent="0.25">
      <c r="A10" s="141"/>
      <c r="B10" s="143"/>
      <c r="C10" s="14" t="s">
        <v>24</v>
      </c>
      <c r="D10" s="14" t="s">
        <v>25</v>
      </c>
      <c r="E10" s="19">
        <v>1.05</v>
      </c>
      <c r="F10" s="20" t="s">
        <v>18</v>
      </c>
      <c r="G10" s="21">
        <v>1.1499999999999999</v>
      </c>
      <c r="H10" s="26" t="s">
        <v>51</v>
      </c>
      <c r="I10" s="55"/>
      <c r="J10" s="75" t="str">
        <f t="shared" si="0"/>
        <v>未取樣</v>
      </c>
      <c r="L10" s="53"/>
      <c r="M10" s="53"/>
    </row>
    <row r="11" spans="1:13" ht="60" customHeight="1" x14ac:dyDescent="0.25">
      <c r="A11" s="141"/>
      <c r="B11" s="140" t="s">
        <v>56</v>
      </c>
      <c r="C11" s="14" t="s">
        <v>16</v>
      </c>
      <c r="D11" s="14" t="s">
        <v>17</v>
      </c>
      <c r="E11" s="19">
        <v>2</v>
      </c>
      <c r="F11" s="20" t="s">
        <v>18</v>
      </c>
      <c r="G11" s="21">
        <v>4</v>
      </c>
      <c r="H11" s="22"/>
      <c r="I11" s="52" t="str">
        <f>IF(H11="","",3.2*H11*F值!B4)</f>
        <v/>
      </c>
      <c r="J11" s="75" t="str">
        <f t="shared" si="0"/>
        <v>未取樣</v>
      </c>
      <c r="L11" s="53"/>
      <c r="M11" s="53"/>
    </row>
    <row r="12" spans="1:13" ht="60" customHeight="1" x14ac:dyDescent="0.25">
      <c r="A12" s="141"/>
      <c r="B12" s="143"/>
      <c r="C12" s="23" t="s">
        <v>20</v>
      </c>
      <c r="D12" s="23" t="s">
        <v>26</v>
      </c>
      <c r="E12" s="27"/>
      <c r="F12" s="20" t="s">
        <v>18</v>
      </c>
      <c r="G12" s="28">
        <v>300</v>
      </c>
      <c r="H12" s="22"/>
      <c r="I12" s="52" t="str">
        <f>IF(H12="","",H12*1.5885*2/25*1000)</f>
        <v/>
      </c>
      <c r="J12" s="75" t="str">
        <f t="shared" si="0"/>
        <v>未取樣</v>
      </c>
      <c r="L12" s="53"/>
      <c r="M12" s="53"/>
    </row>
    <row r="13" spans="1:13" ht="60" customHeight="1" x14ac:dyDescent="0.25">
      <c r="A13" s="141"/>
      <c r="B13" s="17" t="s">
        <v>58</v>
      </c>
      <c r="C13" s="23" t="s">
        <v>27</v>
      </c>
      <c r="D13" s="15" t="s">
        <v>28</v>
      </c>
      <c r="E13" s="19">
        <v>5</v>
      </c>
      <c r="F13" s="20" t="s">
        <v>18</v>
      </c>
      <c r="G13" s="76">
        <v>999</v>
      </c>
      <c r="H13" s="29" t="s">
        <v>51</v>
      </c>
      <c r="I13" s="56"/>
      <c r="J13" s="75" t="str">
        <f t="shared" si="0"/>
        <v>未取樣</v>
      </c>
      <c r="K13" s="57"/>
      <c r="L13" s="58"/>
      <c r="M13" s="58"/>
    </row>
    <row r="14" spans="1:13" ht="9.9499999999999993" customHeight="1" x14ac:dyDescent="0.25">
      <c r="A14" s="16"/>
      <c r="B14" s="30"/>
      <c r="C14" s="30"/>
      <c r="D14" s="30"/>
      <c r="E14" s="30"/>
      <c r="F14" s="30"/>
      <c r="G14" s="30"/>
      <c r="H14" s="31"/>
      <c r="I14" s="59" t="s">
        <v>66</v>
      </c>
      <c r="J14" s="60"/>
      <c r="K14" s="61"/>
      <c r="L14" s="58"/>
      <c r="M14" s="58"/>
    </row>
    <row r="15" spans="1:13" ht="60" customHeight="1" x14ac:dyDescent="0.25">
      <c r="A15" s="144" t="s">
        <v>29</v>
      </c>
      <c r="B15" s="147" t="s">
        <v>60</v>
      </c>
      <c r="C15" s="32" t="s">
        <v>30</v>
      </c>
      <c r="D15" s="32" t="s">
        <v>31</v>
      </c>
      <c r="E15" s="19">
        <v>0.8</v>
      </c>
      <c r="F15" s="20" t="s">
        <v>18</v>
      </c>
      <c r="G15" s="21">
        <v>1.2</v>
      </c>
      <c r="H15" s="33"/>
      <c r="I15" s="62" t="str">
        <f>IF(H15="","",0.0212*4*H15*F值!B3)</f>
        <v/>
      </c>
      <c r="J15" s="54" t="str">
        <f t="shared" si="0"/>
        <v>未取樣</v>
      </c>
      <c r="K15" s="81"/>
      <c r="L15" s="58"/>
      <c r="M15" s="58"/>
    </row>
    <row r="16" spans="1:13" ht="60" customHeight="1" x14ac:dyDescent="0.25">
      <c r="A16" s="145"/>
      <c r="B16" s="148"/>
      <c r="C16" s="34" t="s">
        <v>32</v>
      </c>
      <c r="D16" s="15" t="s">
        <v>64</v>
      </c>
      <c r="E16" s="35">
        <v>10.7</v>
      </c>
      <c r="F16" s="20" t="s">
        <v>18</v>
      </c>
      <c r="G16" s="77">
        <v>999</v>
      </c>
      <c r="H16" s="26" t="s">
        <v>51</v>
      </c>
      <c r="I16" s="63"/>
      <c r="J16" s="54" t="str">
        <f t="shared" si="0"/>
        <v>未取樣</v>
      </c>
      <c r="K16" s="61"/>
      <c r="L16" s="58"/>
      <c r="M16" s="58"/>
    </row>
    <row r="17" spans="1:25" ht="60" customHeight="1" x14ac:dyDescent="0.25">
      <c r="A17" s="145"/>
      <c r="B17" s="147" t="s">
        <v>33</v>
      </c>
      <c r="C17" s="23" t="s">
        <v>30</v>
      </c>
      <c r="D17" s="23" t="s">
        <v>31</v>
      </c>
      <c r="E17" s="27">
        <v>0.8</v>
      </c>
      <c r="F17" s="20" t="s">
        <v>18</v>
      </c>
      <c r="G17" s="28">
        <v>1.2</v>
      </c>
      <c r="H17" s="36"/>
      <c r="I17" s="64" t="str">
        <f>IF(H17="","",0.0212*4*H17*F值!B3)</f>
        <v/>
      </c>
      <c r="J17" s="54" t="str">
        <f t="shared" si="0"/>
        <v>未取樣</v>
      </c>
      <c r="K17" s="61"/>
      <c r="L17" s="58"/>
      <c r="M17" s="65"/>
    </row>
    <row r="18" spans="1:25" ht="60" customHeight="1" x14ac:dyDescent="0.25">
      <c r="A18" s="146"/>
      <c r="B18" s="149"/>
      <c r="C18" s="37" t="s">
        <v>32</v>
      </c>
      <c r="D18" s="15" t="s">
        <v>65</v>
      </c>
      <c r="E18" s="19">
        <v>10.7</v>
      </c>
      <c r="F18" s="20" t="s">
        <v>18</v>
      </c>
      <c r="G18" s="76">
        <v>999</v>
      </c>
      <c r="H18" s="26" t="s">
        <v>51</v>
      </c>
      <c r="I18" s="66"/>
      <c r="J18" s="54" t="str">
        <f t="shared" si="0"/>
        <v>未取樣</v>
      </c>
      <c r="K18" s="61"/>
      <c r="L18" s="58"/>
      <c r="M18" s="58"/>
    </row>
    <row r="19" spans="1:25" ht="9.9499999999999993" customHeight="1" x14ac:dyDescent="0.25">
      <c r="A19" s="16"/>
      <c r="B19" s="30"/>
      <c r="C19" s="30"/>
      <c r="D19" s="30"/>
      <c r="E19" s="30"/>
      <c r="F19" s="30"/>
      <c r="G19" s="30"/>
      <c r="H19" s="31"/>
      <c r="I19" s="59"/>
      <c r="J19" s="60"/>
      <c r="K19" s="61"/>
      <c r="L19" s="58"/>
      <c r="M19" s="58"/>
    </row>
    <row r="20" spans="1:25" ht="60" customHeight="1" x14ac:dyDescent="0.25">
      <c r="A20" s="129" t="s">
        <v>34</v>
      </c>
      <c r="B20" s="38" t="s">
        <v>60</v>
      </c>
      <c r="C20" s="14" t="s">
        <v>35</v>
      </c>
      <c r="D20" s="32" t="s">
        <v>118</v>
      </c>
      <c r="E20" s="39">
        <v>10</v>
      </c>
      <c r="F20" s="20" t="s">
        <v>18</v>
      </c>
      <c r="G20" s="40">
        <v>14</v>
      </c>
      <c r="H20" s="41"/>
      <c r="I20" s="52" t="str">
        <f>IF(H20="","",H20/5*6.98*F值!B3)</f>
        <v/>
      </c>
      <c r="J20" s="54" t="str">
        <f t="shared" si="0"/>
        <v>未取樣</v>
      </c>
      <c r="K20" s="61" t="s">
        <v>117</v>
      </c>
      <c r="L20" s="58"/>
      <c r="M20" s="58"/>
    </row>
    <row r="21" spans="1:25" ht="60" customHeight="1" x14ac:dyDescent="0.25">
      <c r="A21" s="130"/>
      <c r="B21" s="42" t="s">
        <v>55</v>
      </c>
      <c r="C21" s="14" t="s">
        <v>35</v>
      </c>
      <c r="D21" s="32" t="s">
        <v>118</v>
      </c>
      <c r="E21" s="39">
        <v>10</v>
      </c>
      <c r="F21" s="20" t="s">
        <v>18</v>
      </c>
      <c r="G21" s="40">
        <v>14</v>
      </c>
      <c r="H21" s="22"/>
      <c r="I21" s="52" t="str">
        <f>IF(H21="","",H21/5*6.98*F值!B3)</f>
        <v/>
      </c>
      <c r="J21" s="54" t="str">
        <f t="shared" si="0"/>
        <v>未取樣</v>
      </c>
      <c r="K21" s="61" t="s">
        <v>117</v>
      </c>
      <c r="L21" s="58"/>
      <c r="M21" s="58"/>
      <c r="Y21" s="3" t="s">
        <v>120</v>
      </c>
    </row>
    <row r="22" spans="1:25" ht="60" customHeight="1" x14ac:dyDescent="0.25">
      <c r="A22" s="130"/>
      <c r="B22" s="43" t="s">
        <v>54</v>
      </c>
      <c r="C22" s="32" t="s">
        <v>16</v>
      </c>
      <c r="D22" s="32" t="s">
        <v>62</v>
      </c>
      <c r="E22" s="19">
        <v>4</v>
      </c>
      <c r="F22" s="20" t="s">
        <v>18</v>
      </c>
      <c r="G22" s="21">
        <v>6</v>
      </c>
      <c r="H22" s="41"/>
      <c r="I22" s="67" t="str">
        <f>IF(H22="","",3.2*H22*F值!B4)</f>
        <v/>
      </c>
      <c r="J22" s="54" t="str">
        <f t="shared" ref="J22:J24" si="1">IF(I22="","未取樣",IF(OR(I22&lt;E22,I22&gt;G22),"NG","OK"))</f>
        <v>未取樣</v>
      </c>
      <c r="K22" s="61"/>
      <c r="L22" s="58"/>
      <c r="M22" s="58"/>
    </row>
    <row r="23" spans="1:25" ht="60" customHeight="1" x14ac:dyDescent="0.25">
      <c r="A23" s="130"/>
      <c r="B23" s="42" t="s">
        <v>112</v>
      </c>
      <c r="C23" s="14" t="s">
        <v>35</v>
      </c>
      <c r="D23" s="32" t="s">
        <v>118</v>
      </c>
      <c r="E23" s="39">
        <v>10</v>
      </c>
      <c r="F23" s="20" t="s">
        <v>18</v>
      </c>
      <c r="G23" s="40">
        <v>14</v>
      </c>
      <c r="H23" s="22"/>
      <c r="I23" s="52" t="str">
        <f>IF(H23="","",H23/5*6.98*F值!B3)</f>
        <v/>
      </c>
      <c r="J23" s="54" t="str">
        <f t="shared" ref="J23" si="2">IF(I23="","未取樣",IF(OR(I23&lt;E23,I23&gt;G23),"NG","OK"))</f>
        <v>未取樣</v>
      </c>
      <c r="K23" s="61" t="s">
        <v>117</v>
      </c>
      <c r="L23" s="58"/>
      <c r="M23" s="58"/>
    </row>
    <row r="24" spans="1:25" ht="60" customHeight="1" x14ac:dyDescent="0.25">
      <c r="A24" s="131"/>
      <c r="B24" s="42" t="s">
        <v>113</v>
      </c>
      <c r="C24" s="14" t="s">
        <v>35</v>
      </c>
      <c r="D24" s="32" t="s">
        <v>118</v>
      </c>
      <c r="E24" s="39">
        <v>10</v>
      </c>
      <c r="F24" s="20" t="s">
        <v>18</v>
      </c>
      <c r="G24" s="40">
        <v>14</v>
      </c>
      <c r="H24" s="22"/>
      <c r="I24" s="52" t="str">
        <f>IF(H24="","",H24/5*6.98*F值!B5)</f>
        <v/>
      </c>
      <c r="J24" s="54" t="str">
        <f t="shared" si="1"/>
        <v>未取樣</v>
      </c>
      <c r="K24" s="61" t="s">
        <v>117</v>
      </c>
      <c r="L24" s="58"/>
      <c r="M24" s="58"/>
    </row>
    <row r="25" spans="1:25" ht="9.9499999999999993" customHeight="1" x14ac:dyDescent="0.25">
      <c r="A25" s="16"/>
      <c r="B25" s="30"/>
      <c r="C25" s="30"/>
      <c r="D25" s="30"/>
      <c r="E25" s="30"/>
      <c r="F25" s="30"/>
      <c r="G25" s="30"/>
      <c r="H25" s="31"/>
      <c r="I25" s="59"/>
      <c r="J25" s="60"/>
      <c r="K25" s="61"/>
      <c r="L25" s="58"/>
      <c r="M25" s="58"/>
    </row>
    <row r="26" spans="1:25" ht="60" customHeight="1" x14ac:dyDescent="0.25">
      <c r="A26" s="132" t="s">
        <v>38</v>
      </c>
      <c r="B26" s="132" t="s">
        <v>19</v>
      </c>
      <c r="C26" s="14" t="s">
        <v>39</v>
      </c>
      <c r="D26" s="14" t="s">
        <v>115</v>
      </c>
      <c r="E26" s="19">
        <v>2</v>
      </c>
      <c r="F26" s="20" t="s">
        <v>18</v>
      </c>
      <c r="G26" s="21">
        <v>4</v>
      </c>
      <c r="H26" s="36"/>
      <c r="I26" s="68" t="str">
        <f>IF(H26="","",2.7*H26/5*F值!B4)</f>
        <v/>
      </c>
      <c r="J26" s="54" t="str">
        <f t="shared" si="0"/>
        <v>未取樣</v>
      </c>
      <c r="K26" s="80"/>
      <c r="L26" s="58"/>
      <c r="M26" s="58"/>
    </row>
    <row r="27" spans="1:25" ht="60" customHeight="1" x14ac:dyDescent="0.25">
      <c r="A27" s="133"/>
      <c r="B27" s="135"/>
      <c r="C27" s="23" t="s">
        <v>20</v>
      </c>
      <c r="D27" s="79" t="s">
        <v>63</v>
      </c>
      <c r="E27" s="19">
        <v>10</v>
      </c>
      <c r="F27" s="20" t="s">
        <v>18</v>
      </c>
      <c r="G27" s="21">
        <v>35</v>
      </c>
      <c r="H27" s="22"/>
      <c r="I27" s="70" t="str">
        <f>IF(H27="","",3.18*H27*F值!B5)</f>
        <v/>
      </c>
      <c r="J27" s="54" t="str">
        <f t="shared" si="0"/>
        <v>未取樣</v>
      </c>
      <c r="K27" s="69"/>
      <c r="L27" s="53"/>
      <c r="M27" s="53"/>
    </row>
    <row r="28" spans="1:25" ht="60" customHeight="1" x14ac:dyDescent="0.25">
      <c r="A28" s="133"/>
      <c r="B28" s="136"/>
      <c r="C28" s="14" t="s">
        <v>40</v>
      </c>
      <c r="D28" s="14" t="s">
        <v>53</v>
      </c>
      <c r="E28" s="19">
        <v>4.5</v>
      </c>
      <c r="F28" s="20" t="s">
        <v>18</v>
      </c>
      <c r="G28" s="21">
        <v>7.5</v>
      </c>
      <c r="H28" s="22"/>
      <c r="I28" s="70" t="str">
        <f>IF(H28="","",0.428*2*H28*F值!B6)</f>
        <v/>
      </c>
      <c r="J28" s="54" t="str">
        <f t="shared" si="0"/>
        <v>未取樣</v>
      </c>
      <c r="K28" s="69"/>
      <c r="L28" s="58"/>
      <c r="M28" s="58"/>
    </row>
    <row r="29" spans="1:25" ht="60" customHeight="1" x14ac:dyDescent="0.25">
      <c r="A29" s="133"/>
      <c r="B29" s="44" t="s">
        <v>54</v>
      </c>
      <c r="C29" s="32" t="s">
        <v>16</v>
      </c>
      <c r="D29" s="32" t="s">
        <v>37</v>
      </c>
      <c r="E29" s="39">
        <v>4</v>
      </c>
      <c r="F29" s="20" t="s">
        <v>18</v>
      </c>
      <c r="G29" s="40">
        <v>6</v>
      </c>
      <c r="H29" s="45"/>
      <c r="I29" s="71" t="str">
        <f>IF(H29="","",3.2*H29*F值!B4)</f>
        <v/>
      </c>
      <c r="J29" s="54" t="str">
        <f t="shared" si="0"/>
        <v>未取樣</v>
      </c>
      <c r="K29" s="69"/>
      <c r="L29" s="58"/>
      <c r="M29" s="58"/>
    </row>
    <row r="30" spans="1:25" ht="60" customHeight="1" x14ac:dyDescent="0.25">
      <c r="A30" s="134"/>
      <c r="B30" s="46" t="s">
        <v>58</v>
      </c>
      <c r="C30" s="14" t="s">
        <v>32</v>
      </c>
      <c r="D30" s="15" t="s">
        <v>28</v>
      </c>
      <c r="E30" s="19">
        <v>5</v>
      </c>
      <c r="F30" s="20" t="s">
        <v>18</v>
      </c>
      <c r="G30" s="76">
        <v>999</v>
      </c>
      <c r="H30" s="26" t="s">
        <v>51</v>
      </c>
      <c r="I30" s="66"/>
      <c r="J30" s="54" t="str">
        <f t="shared" si="0"/>
        <v>未取樣</v>
      </c>
      <c r="K30" s="57"/>
      <c r="L30" s="72"/>
      <c r="M30" s="72"/>
    </row>
    <row r="31" spans="1:25" ht="18" customHeight="1" x14ac:dyDescent="0.25">
      <c r="A31" s="47" t="s">
        <v>41</v>
      </c>
      <c r="B31" s="48"/>
      <c r="C31" s="48"/>
      <c r="D31" s="48"/>
      <c r="E31" s="48"/>
      <c r="F31" s="48"/>
      <c r="G31" s="48"/>
      <c r="H31" s="48"/>
      <c r="I31" s="48"/>
      <c r="J31" s="73"/>
    </row>
    <row r="32" spans="1:25" ht="18" customHeight="1" x14ac:dyDescent="0.25">
      <c r="A32" s="49"/>
      <c r="B32" s="12"/>
      <c r="D32" s="12"/>
      <c r="E32" s="12"/>
      <c r="F32" s="12"/>
      <c r="G32" s="12"/>
      <c r="H32" s="12"/>
      <c r="I32" s="12"/>
      <c r="J32" s="74"/>
    </row>
    <row r="33" spans="1:10" ht="18" customHeight="1" x14ac:dyDescent="0.25">
      <c r="A33" s="160"/>
      <c r="B33" s="161"/>
      <c r="C33" s="161"/>
      <c r="D33" s="161"/>
      <c r="E33" s="161"/>
      <c r="F33" s="161"/>
      <c r="G33" s="161"/>
      <c r="H33" s="161"/>
      <c r="I33" s="161"/>
      <c r="J33" s="162"/>
    </row>
    <row r="34" spans="1:10" ht="18" customHeight="1" x14ac:dyDescent="0.25">
      <c r="A34" s="163"/>
      <c r="B34" s="164"/>
      <c r="C34" s="164"/>
      <c r="D34" s="164"/>
      <c r="E34" s="164"/>
      <c r="F34" s="164"/>
      <c r="G34" s="164"/>
      <c r="H34" s="164"/>
      <c r="I34" s="164"/>
      <c r="J34" s="165"/>
    </row>
    <row r="35" spans="1:10" ht="18" customHeight="1" x14ac:dyDescent="0.25">
      <c r="A35" s="50" t="s">
        <v>42</v>
      </c>
      <c r="C35" s="51" t="s">
        <v>43</v>
      </c>
      <c r="H35" s="51" t="s">
        <v>44</v>
      </c>
    </row>
    <row r="36" spans="1:10" ht="18" customHeight="1" x14ac:dyDescent="0.25"/>
    <row r="37" spans="1:10" ht="18" customHeight="1" x14ac:dyDescent="0.25"/>
  </sheetData>
  <sheetProtection sheet="1" objects="1" scenarios="1"/>
  <mergeCells count="15">
    <mergeCell ref="A1:I1"/>
    <mergeCell ref="A2:J2"/>
    <mergeCell ref="B3:J3"/>
    <mergeCell ref="K5:M5"/>
    <mergeCell ref="E6:G6"/>
    <mergeCell ref="A33:J34"/>
    <mergeCell ref="A7:A13"/>
    <mergeCell ref="A15:A18"/>
    <mergeCell ref="A20:A24"/>
    <mergeCell ref="A26:A30"/>
    <mergeCell ref="B8:B10"/>
    <mergeCell ref="B11:B12"/>
    <mergeCell ref="B15:B16"/>
    <mergeCell ref="B17:B18"/>
    <mergeCell ref="B26:B28"/>
  </mergeCells>
  <phoneticPr fontId="17" type="noConversion"/>
  <conditionalFormatting sqref="J7:J30">
    <cfRule type="containsText" dxfId="7" priority="7" operator="containsText" text="NG">
      <formula>NOT(ISERROR(SEARCH("NG",J7)))</formula>
    </cfRule>
  </conditionalFormatting>
  <conditionalFormatting sqref="J12">
    <cfRule type="containsText" dxfId="6" priority="1" operator="containsText" text="未化驗">
      <formula>NOT(ISERROR(SEARCH("未化驗",J12)))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C02C-DAA1-4148-92B4-75F07BFFA838}">
  <dimension ref="A1:N39"/>
  <sheetViews>
    <sheetView topLeftCell="A13" zoomScale="40" zoomScaleNormal="40" workbookViewId="0">
      <selection activeCell="K22" sqref="K22"/>
    </sheetView>
  </sheetViews>
  <sheetFormatPr defaultColWidth="9" defaultRowHeight="30" x14ac:dyDescent="0.25"/>
  <cols>
    <col min="1" max="1" width="14.25" style="11" customWidth="1"/>
    <col min="2" max="2" width="27.875" style="11" customWidth="1"/>
    <col min="3" max="3" width="28.875" style="12" customWidth="1"/>
    <col min="4" max="4" width="21.625" style="11" customWidth="1"/>
    <col min="5" max="5" width="10.625" style="11" customWidth="1"/>
    <col min="6" max="6" width="7.625" style="11" customWidth="1"/>
    <col min="7" max="7" width="10.625" style="11" customWidth="1"/>
    <col min="8" max="9" width="21.625" style="11" customWidth="1"/>
    <col min="10" max="10" width="21.625" style="12" customWidth="1"/>
    <col min="11" max="11" width="32.75" style="13" customWidth="1"/>
    <col min="12" max="12" width="34.25" style="13" customWidth="1"/>
    <col min="13" max="13" width="43.875" style="13" customWidth="1"/>
    <col min="14" max="14" width="34.125" style="102" customWidth="1"/>
    <col min="15" max="16384" width="9" style="3"/>
  </cols>
  <sheetData>
    <row r="1" spans="1:14" ht="27.75" customHeight="1" x14ac:dyDescent="0.25">
      <c r="A1" s="153"/>
      <c r="B1" s="153"/>
      <c r="C1" s="153"/>
      <c r="D1" s="153"/>
      <c r="E1" s="153"/>
      <c r="F1" s="153"/>
      <c r="G1" s="153"/>
      <c r="H1" s="153"/>
      <c r="I1" s="153"/>
    </row>
    <row r="2" spans="1:14" ht="50.25" x14ac:dyDescent="0.75">
      <c r="A2" s="154" t="s">
        <v>0</v>
      </c>
      <c r="B2" s="154"/>
      <c r="C2" s="154"/>
      <c r="D2" s="154"/>
      <c r="E2" s="154"/>
      <c r="F2" s="154"/>
      <c r="G2" s="154"/>
      <c r="H2" s="154"/>
      <c r="I2" s="154"/>
      <c r="J2" s="154"/>
    </row>
    <row r="3" spans="1:14" ht="35.1" customHeight="1" x14ac:dyDescent="0.25">
      <c r="A3" s="14" t="s">
        <v>1</v>
      </c>
      <c r="B3" s="155" t="s">
        <v>61</v>
      </c>
      <c r="C3" s="156"/>
      <c r="D3" s="156"/>
      <c r="E3" s="156"/>
      <c r="F3" s="156"/>
      <c r="G3" s="156"/>
      <c r="H3" s="156"/>
      <c r="I3" s="156"/>
      <c r="J3" s="157"/>
      <c r="L3" s="158" t="s">
        <v>4</v>
      </c>
      <c r="M3" s="159"/>
      <c r="N3" s="159"/>
    </row>
    <row r="4" spans="1:14" ht="35.1" customHeight="1" x14ac:dyDescent="0.25">
      <c r="A4" s="14" t="s">
        <v>2</v>
      </c>
      <c r="B4" s="119">
        <v>46136</v>
      </c>
      <c r="C4" s="114"/>
      <c r="D4" s="114"/>
      <c r="E4" s="114"/>
      <c r="F4" s="114"/>
      <c r="G4" s="114"/>
      <c r="H4" s="114"/>
      <c r="I4" s="114"/>
      <c r="J4" s="115"/>
      <c r="L4" s="100" t="s">
        <v>13</v>
      </c>
      <c r="M4" s="100" t="s">
        <v>14</v>
      </c>
      <c r="N4" s="100" t="s">
        <v>15</v>
      </c>
    </row>
    <row r="5" spans="1:14" ht="35.1" customHeight="1" x14ac:dyDescent="0.25">
      <c r="A5" s="14" t="s">
        <v>3</v>
      </c>
      <c r="B5" s="111" t="s">
        <v>121</v>
      </c>
      <c r="C5" s="112"/>
      <c r="D5" s="112"/>
      <c r="E5" s="112"/>
      <c r="F5" s="112"/>
      <c r="G5" s="112"/>
      <c r="H5" s="112"/>
      <c r="I5" s="112"/>
      <c r="J5" s="113"/>
      <c r="K5" s="151"/>
      <c r="L5" s="152"/>
      <c r="M5" s="152"/>
    </row>
    <row r="6" spans="1:14" ht="35.1" customHeight="1" x14ac:dyDescent="0.25">
      <c r="A6" s="14" t="s">
        <v>5</v>
      </c>
      <c r="B6" s="14" t="s">
        <v>6</v>
      </c>
      <c r="C6" s="15" t="s">
        <v>7</v>
      </c>
      <c r="D6" s="15" t="s">
        <v>8</v>
      </c>
      <c r="E6" s="137" t="s">
        <v>9</v>
      </c>
      <c r="F6" s="138"/>
      <c r="G6" s="139"/>
      <c r="H6" s="15" t="s">
        <v>10</v>
      </c>
      <c r="I6" s="16" t="s">
        <v>11</v>
      </c>
      <c r="J6" s="15" t="s">
        <v>12</v>
      </c>
    </row>
    <row r="7" spans="1:14" ht="60" customHeight="1" x14ac:dyDescent="0.25">
      <c r="A7" s="140" t="s">
        <v>50</v>
      </c>
      <c r="B7" s="18" t="s">
        <v>59</v>
      </c>
      <c r="C7" s="14" t="s">
        <v>16</v>
      </c>
      <c r="D7" s="14" t="s">
        <v>17</v>
      </c>
      <c r="E7" s="19">
        <v>2</v>
      </c>
      <c r="F7" s="20" t="s">
        <v>18</v>
      </c>
      <c r="G7" s="21">
        <v>4</v>
      </c>
      <c r="H7" s="22"/>
      <c r="I7" s="52" t="str">
        <f>IF(H7="","",3.2*H7*F值!B4)</f>
        <v/>
      </c>
      <c r="J7" s="75" t="str">
        <f>IF(I7="","未取樣",IF(OR(I7&lt;E7,I7&gt;G7),"NG","OK"))</f>
        <v>未取樣</v>
      </c>
      <c r="K7" s="82" t="s">
        <v>68</v>
      </c>
      <c r="L7" s="53"/>
      <c r="M7" s="53"/>
    </row>
    <row r="8" spans="1:14" ht="60" customHeight="1" x14ac:dyDescent="0.25">
      <c r="A8" s="141"/>
      <c r="B8" s="141" t="s">
        <v>57</v>
      </c>
      <c r="C8" s="23" t="s">
        <v>20</v>
      </c>
      <c r="D8" s="24" t="s">
        <v>21</v>
      </c>
      <c r="E8" s="78">
        <v>0</v>
      </c>
      <c r="F8" s="20" t="s">
        <v>18</v>
      </c>
      <c r="G8" s="25">
        <v>42</v>
      </c>
      <c r="H8" s="22"/>
      <c r="I8" s="52" t="str">
        <f>IF(H8="","",3.177*H8*F值!B5)</f>
        <v/>
      </c>
      <c r="J8" s="75" t="str">
        <f t="shared" ref="J8:J30" si="0">IF(I8="","未取樣",IF(OR(I8&lt;E8,I8&gt;G8),"NG","OK"))</f>
        <v>未取樣</v>
      </c>
      <c r="L8" s="53"/>
      <c r="M8" s="53"/>
    </row>
    <row r="9" spans="1:14" ht="60" customHeight="1" x14ac:dyDescent="0.25">
      <c r="A9" s="141"/>
      <c r="B9" s="142"/>
      <c r="C9" s="14" t="s">
        <v>22</v>
      </c>
      <c r="D9" s="14" t="s">
        <v>23</v>
      </c>
      <c r="E9" s="19">
        <v>25</v>
      </c>
      <c r="F9" s="20" t="s">
        <v>18</v>
      </c>
      <c r="G9" s="21">
        <v>35</v>
      </c>
      <c r="H9" s="26" t="s">
        <v>51</v>
      </c>
      <c r="I9" s="55"/>
      <c r="J9" s="75" t="str">
        <f t="shared" si="0"/>
        <v>未取樣</v>
      </c>
      <c r="L9" s="53"/>
      <c r="M9" s="53"/>
    </row>
    <row r="10" spans="1:14" ht="60" customHeight="1" x14ac:dyDescent="0.25">
      <c r="A10" s="141"/>
      <c r="B10" s="143"/>
      <c r="C10" s="14" t="s">
        <v>24</v>
      </c>
      <c r="D10" s="14" t="s">
        <v>25</v>
      </c>
      <c r="E10" s="19">
        <v>1.05</v>
      </c>
      <c r="F10" s="20" t="s">
        <v>18</v>
      </c>
      <c r="G10" s="21">
        <v>1.1499999999999999</v>
      </c>
      <c r="H10" s="26" t="s">
        <v>51</v>
      </c>
      <c r="I10" s="55"/>
      <c r="J10" s="75" t="str">
        <f t="shared" si="0"/>
        <v>未取樣</v>
      </c>
      <c r="L10" s="53"/>
      <c r="M10" s="53"/>
    </row>
    <row r="11" spans="1:14" ht="60" customHeight="1" x14ac:dyDescent="0.25">
      <c r="A11" s="141"/>
      <c r="B11" s="140" t="s">
        <v>56</v>
      </c>
      <c r="C11" s="14" t="s">
        <v>16</v>
      </c>
      <c r="D11" s="14" t="s">
        <v>17</v>
      </c>
      <c r="E11" s="19">
        <v>2</v>
      </c>
      <c r="F11" s="20" t="s">
        <v>18</v>
      </c>
      <c r="G11" s="21">
        <v>4</v>
      </c>
      <c r="H11" s="22"/>
      <c r="I11" s="52" t="str">
        <f>IF(H11="","",3.2*H11*F值!B4)</f>
        <v/>
      </c>
      <c r="J11" s="75" t="str">
        <f t="shared" si="0"/>
        <v>未取樣</v>
      </c>
      <c r="L11" s="53"/>
      <c r="M11" s="53"/>
    </row>
    <row r="12" spans="1:14" ht="60" customHeight="1" x14ac:dyDescent="0.25">
      <c r="A12" s="141"/>
      <c r="B12" s="143"/>
      <c r="C12" s="23" t="s">
        <v>20</v>
      </c>
      <c r="D12" s="23" t="s">
        <v>26</v>
      </c>
      <c r="E12" s="27"/>
      <c r="F12" s="20" t="s">
        <v>18</v>
      </c>
      <c r="G12" s="28">
        <v>300</v>
      </c>
      <c r="H12" s="22"/>
      <c r="I12" s="52" t="str">
        <f>IF(H12="","",H12*1.5885*2/25*1000)</f>
        <v/>
      </c>
      <c r="J12" s="75" t="str">
        <f t="shared" si="0"/>
        <v>未取樣</v>
      </c>
      <c r="L12" s="53"/>
      <c r="M12" s="53"/>
    </row>
    <row r="13" spans="1:14" ht="60" customHeight="1" x14ac:dyDescent="0.25">
      <c r="A13" s="141"/>
      <c r="B13" s="17" t="s">
        <v>58</v>
      </c>
      <c r="C13" s="23" t="s">
        <v>27</v>
      </c>
      <c r="D13" s="15" t="s">
        <v>28</v>
      </c>
      <c r="E13" s="19">
        <v>5</v>
      </c>
      <c r="F13" s="20" t="s">
        <v>18</v>
      </c>
      <c r="G13" s="76">
        <v>999</v>
      </c>
      <c r="H13" s="29" t="s">
        <v>51</v>
      </c>
      <c r="I13" s="56"/>
      <c r="J13" s="75" t="str">
        <f t="shared" si="0"/>
        <v>未取樣</v>
      </c>
      <c r="K13" s="57"/>
      <c r="L13" s="58"/>
      <c r="M13" s="58"/>
    </row>
    <row r="14" spans="1:14" ht="9.9499999999999993" customHeight="1" x14ac:dyDescent="0.25">
      <c r="A14" s="16"/>
      <c r="B14" s="30"/>
      <c r="C14" s="30"/>
      <c r="D14" s="30"/>
      <c r="E14" s="30"/>
      <c r="F14" s="30"/>
      <c r="G14" s="30"/>
      <c r="H14" s="31"/>
      <c r="I14" s="59" t="s">
        <v>66</v>
      </c>
      <c r="J14" s="60"/>
      <c r="K14" s="61"/>
      <c r="L14" s="58"/>
      <c r="M14" s="58"/>
    </row>
    <row r="15" spans="1:14" ht="60" customHeight="1" x14ac:dyDescent="0.25">
      <c r="A15" s="144" t="s">
        <v>29</v>
      </c>
      <c r="B15" s="147" t="s">
        <v>60</v>
      </c>
      <c r="C15" s="32" t="s">
        <v>30</v>
      </c>
      <c r="D15" s="32" t="s">
        <v>31</v>
      </c>
      <c r="E15" s="19">
        <v>0.8</v>
      </c>
      <c r="F15" s="20" t="s">
        <v>18</v>
      </c>
      <c r="G15" s="21">
        <v>1.2</v>
      </c>
      <c r="H15" s="33"/>
      <c r="I15" s="62" t="str">
        <f>IF(H15="","",0.0212*4*H15*F值!B3)</f>
        <v/>
      </c>
      <c r="J15" s="54" t="str">
        <f t="shared" si="0"/>
        <v>未取樣</v>
      </c>
      <c r="K15" s="82" t="s">
        <v>67</v>
      </c>
      <c r="L15" s="103">
        <v>2512004</v>
      </c>
      <c r="M15" s="101">
        <v>45996</v>
      </c>
      <c r="N15" s="110" t="s">
        <v>96</v>
      </c>
    </row>
    <row r="16" spans="1:14" ht="60" customHeight="1" x14ac:dyDescent="0.25">
      <c r="A16" s="145"/>
      <c r="B16" s="148"/>
      <c r="C16" s="34" t="s">
        <v>32</v>
      </c>
      <c r="D16" s="15" t="s">
        <v>64</v>
      </c>
      <c r="E16" s="35">
        <v>10.7</v>
      </c>
      <c r="F16" s="20" t="s">
        <v>18</v>
      </c>
      <c r="G16" s="77">
        <v>999</v>
      </c>
      <c r="H16" s="26" t="s">
        <v>51</v>
      </c>
      <c r="I16" s="63"/>
      <c r="J16" s="54" t="str">
        <f t="shared" si="0"/>
        <v>未取樣</v>
      </c>
      <c r="K16" s="61"/>
      <c r="L16" s="58"/>
      <c r="M16" s="101">
        <v>45996</v>
      </c>
      <c r="N16" s="110" t="s">
        <v>96</v>
      </c>
    </row>
    <row r="17" spans="1:14" ht="60" customHeight="1" x14ac:dyDescent="0.25">
      <c r="A17" s="145"/>
      <c r="B17" s="147" t="s">
        <v>33</v>
      </c>
      <c r="C17" s="23" t="s">
        <v>30</v>
      </c>
      <c r="D17" s="23" t="s">
        <v>31</v>
      </c>
      <c r="E17" s="27">
        <v>0.8</v>
      </c>
      <c r="F17" s="20" t="s">
        <v>18</v>
      </c>
      <c r="G17" s="28">
        <v>1.2</v>
      </c>
      <c r="H17" s="36"/>
      <c r="I17" s="64" t="str">
        <f>IF(H17="","",0.0212*4*H17*F值!B3)</f>
        <v/>
      </c>
      <c r="J17" s="54" t="str">
        <f t="shared" si="0"/>
        <v>未取樣</v>
      </c>
      <c r="K17" s="61"/>
      <c r="L17" s="58"/>
      <c r="M17" s="101">
        <v>45996</v>
      </c>
      <c r="N17" s="110" t="s">
        <v>96</v>
      </c>
    </row>
    <row r="18" spans="1:14" ht="60" customHeight="1" x14ac:dyDescent="0.25">
      <c r="A18" s="146"/>
      <c r="B18" s="149"/>
      <c r="C18" s="37" t="s">
        <v>32</v>
      </c>
      <c r="D18" s="15" t="s">
        <v>65</v>
      </c>
      <c r="E18" s="19">
        <v>10.7</v>
      </c>
      <c r="F18" s="20" t="s">
        <v>18</v>
      </c>
      <c r="G18" s="76">
        <v>999</v>
      </c>
      <c r="H18" s="26" t="s">
        <v>51</v>
      </c>
      <c r="I18" s="66"/>
      <c r="J18" s="54" t="str">
        <f>IF(I18="","未取樣",IF(OR(I18&lt;E18,I18&gt;G18),"NG","OK"))</f>
        <v>未取樣</v>
      </c>
      <c r="K18" s="61"/>
      <c r="L18" s="58"/>
      <c r="M18" s="101">
        <v>45996</v>
      </c>
      <c r="N18" s="110" t="s">
        <v>96</v>
      </c>
    </row>
    <row r="19" spans="1:14" ht="9.9499999999999993" customHeight="1" x14ac:dyDescent="0.25">
      <c r="A19" s="16"/>
      <c r="B19" s="30"/>
      <c r="C19" s="30"/>
      <c r="D19" s="30"/>
      <c r="E19" s="30"/>
      <c r="F19" s="30"/>
      <c r="G19" s="30"/>
      <c r="H19" s="31"/>
      <c r="I19" s="59"/>
      <c r="J19" s="60"/>
      <c r="K19" s="61"/>
      <c r="L19" s="58"/>
      <c r="M19" s="101"/>
      <c r="N19" s="110"/>
    </row>
    <row r="20" spans="1:14" ht="69.75" customHeight="1" x14ac:dyDescent="0.25">
      <c r="A20" s="129" t="s">
        <v>34</v>
      </c>
      <c r="B20" s="38" t="s">
        <v>106</v>
      </c>
      <c r="C20" s="14" t="s">
        <v>35</v>
      </c>
      <c r="D20" s="32" t="s">
        <v>116</v>
      </c>
      <c r="E20" s="39">
        <v>13</v>
      </c>
      <c r="F20" s="20" t="s">
        <v>18</v>
      </c>
      <c r="G20" s="40">
        <v>17</v>
      </c>
      <c r="H20" s="41"/>
      <c r="I20" s="52" t="str">
        <f>IF(H20="","",H20/5*11.45*F值!B3)</f>
        <v/>
      </c>
      <c r="J20" s="54" t="str">
        <f t="shared" ref="J20:J25" si="1">IF(I20="","未取樣",IF(OR(I20&lt;E20,I20&gt;G20),"NG","OK"))</f>
        <v>未取樣</v>
      </c>
      <c r="K20" s="82" t="s">
        <v>69</v>
      </c>
      <c r="L20" s="103" t="s">
        <v>114</v>
      </c>
      <c r="M20" s="101"/>
      <c r="N20" s="109"/>
    </row>
    <row r="21" spans="1:14" ht="69.75" customHeight="1" x14ac:dyDescent="0.25">
      <c r="A21" s="130"/>
      <c r="B21" s="38" t="s">
        <v>107</v>
      </c>
      <c r="C21" s="14" t="s">
        <v>35</v>
      </c>
      <c r="D21" s="32" t="s">
        <v>116</v>
      </c>
      <c r="E21" s="39">
        <v>13</v>
      </c>
      <c r="F21" s="20" t="s">
        <v>18</v>
      </c>
      <c r="G21" s="40">
        <v>17</v>
      </c>
      <c r="H21" s="41">
        <v>6.6</v>
      </c>
      <c r="I21" s="52">
        <f>IF(H21="","",H21/5*11.45*F值!B3)</f>
        <v>14.479211999999997</v>
      </c>
      <c r="J21" s="54" t="str">
        <f t="shared" si="1"/>
        <v>OK</v>
      </c>
      <c r="K21" s="82"/>
      <c r="L21" s="103"/>
      <c r="M21" s="101"/>
      <c r="N21" s="109"/>
    </row>
    <row r="22" spans="1:14" ht="60" customHeight="1" x14ac:dyDescent="0.25">
      <c r="A22" s="130"/>
      <c r="B22" s="42" t="s">
        <v>108</v>
      </c>
      <c r="C22" s="14" t="s">
        <v>35</v>
      </c>
      <c r="D22" s="32" t="s">
        <v>116</v>
      </c>
      <c r="E22" s="39">
        <v>13</v>
      </c>
      <c r="F22" s="20" t="s">
        <v>18</v>
      </c>
      <c r="G22" s="40">
        <v>17</v>
      </c>
      <c r="H22" s="22">
        <v>6.5</v>
      </c>
      <c r="I22" s="52">
        <f>IF(H22="","",H22/5*11.45*F值!B3)</f>
        <v>14.259829999999999</v>
      </c>
      <c r="J22" s="54" t="str">
        <f t="shared" si="1"/>
        <v>OK</v>
      </c>
      <c r="K22" s="61"/>
      <c r="L22" s="58"/>
      <c r="M22" s="101"/>
      <c r="N22" s="109"/>
    </row>
    <row r="23" spans="1:14" ht="60" customHeight="1" x14ac:dyDescent="0.25">
      <c r="A23" s="130"/>
      <c r="B23" s="43" t="s">
        <v>111</v>
      </c>
      <c r="C23" s="32" t="s">
        <v>16</v>
      </c>
      <c r="D23" s="32" t="s">
        <v>62</v>
      </c>
      <c r="E23" s="19">
        <v>4</v>
      </c>
      <c r="F23" s="20" t="s">
        <v>18</v>
      </c>
      <c r="G23" s="21">
        <v>6</v>
      </c>
      <c r="H23" s="41">
        <v>1.3</v>
      </c>
      <c r="I23" s="67">
        <f>IF(H23="","",H23*3.2*F值!B4)</f>
        <v>4.1391999999999998</v>
      </c>
      <c r="J23" s="54" t="str">
        <f t="shared" si="1"/>
        <v>OK</v>
      </c>
      <c r="K23" s="61"/>
      <c r="L23" s="58"/>
      <c r="M23" s="101"/>
      <c r="N23" s="110"/>
    </row>
    <row r="24" spans="1:14" ht="60" customHeight="1" x14ac:dyDescent="0.25">
      <c r="A24" s="130"/>
      <c r="B24" s="43" t="s">
        <v>109</v>
      </c>
      <c r="C24" s="14" t="s">
        <v>35</v>
      </c>
      <c r="D24" s="32" t="s">
        <v>116</v>
      </c>
      <c r="E24" s="39">
        <v>13</v>
      </c>
      <c r="F24" s="20" t="s">
        <v>18</v>
      </c>
      <c r="G24" s="40">
        <v>17</v>
      </c>
      <c r="H24" s="22"/>
      <c r="I24" s="52" t="str">
        <f>IF(H24="","",H24/5*11.45*F值!B3)</f>
        <v/>
      </c>
      <c r="J24" s="54" t="str">
        <f t="shared" si="1"/>
        <v>未取樣</v>
      </c>
      <c r="K24" s="61"/>
      <c r="L24" s="58"/>
      <c r="M24" s="101"/>
      <c r="N24" s="110"/>
    </row>
    <row r="25" spans="1:14" ht="60" customHeight="1" x14ac:dyDescent="0.25">
      <c r="A25" s="131"/>
      <c r="B25" s="43" t="s">
        <v>110</v>
      </c>
      <c r="C25" s="14" t="s">
        <v>35</v>
      </c>
      <c r="D25" s="32" t="s">
        <v>116</v>
      </c>
      <c r="E25" s="39">
        <v>13</v>
      </c>
      <c r="F25" s="20" t="s">
        <v>18</v>
      </c>
      <c r="G25" s="40">
        <v>17</v>
      </c>
      <c r="H25" s="22"/>
      <c r="I25" s="52" t="str">
        <f>IF(H25="","",H25/5*11.45*F值!B3)</f>
        <v/>
      </c>
      <c r="J25" s="54" t="str">
        <f t="shared" si="1"/>
        <v>未取樣</v>
      </c>
      <c r="K25" s="61"/>
      <c r="L25" s="58"/>
      <c r="M25" s="101"/>
      <c r="N25" s="109"/>
    </row>
    <row r="26" spans="1:14" ht="9.9499999999999993" customHeight="1" x14ac:dyDescent="0.25">
      <c r="A26" s="16"/>
      <c r="B26" s="30"/>
      <c r="C26" s="30"/>
      <c r="D26" s="30"/>
      <c r="E26" s="30"/>
      <c r="F26" s="30"/>
      <c r="G26" s="30"/>
      <c r="H26" s="31"/>
      <c r="I26" s="59"/>
      <c r="J26" s="60"/>
      <c r="K26" s="61"/>
      <c r="L26" s="58"/>
      <c r="M26" s="101"/>
      <c r="N26" s="110"/>
    </row>
    <row r="27" spans="1:14" ht="60" customHeight="1" x14ac:dyDescent="0.25">
      <c r="A27" s="132"/>
      <c r="B27" s="132" t="s">
        <v>19</v>
      </c>
      <c r="C27" s="14" t="s">
        <v>39</v>
      </c>
      <c r="D27" s="14" t="s">
        <v>52</v>
      </c>
      <c r="E27" s="19">
        <v>3</v>
      </c>
      <c r="F27" s="20" t="s">
        <v>18</v>
      </c>
      <c r="G27" s="21">
        <v>5</v>
      </c>
      <c r="H27" s="36"/>
      <c r="I27" s="68" t="str">
        <f>IF(H27="","",2.7*H27/5*F值!B4)</f>
        <v/>
      </c>
      <c r="J27" s="54" t="str">
        <f t="shared" si="0"/>
        <v>未取樣</v>
      </c>
      <c r="K27" s="80" t="s">
        <v>70</v>
      </c>
      <c r="L27" s="103">
        <v>2512002</v>
      </c>
      <c r="M27" s="101">
        <v>45962</v>
      </c>
      <c r="N27" s="109">
        <v>46081</v>
      </c>
    </row>
    <row r="28" spans="1:14" ht="60" customHeight="1" x14ac:dyDescent="0.25">
      <c r="A28" s="133"/>
      <c r="B28" s="135"/>
      <c r="C28" s="23" t="s">
        <v>20</v>
      </c>
      <c r="D28" s="79" t="s">
        <v>63</v>
      </c>
      <c r="E28" s="19">
        <v>10</v>
      </c>
      <c r="F28" s="20" t="s">
        <v>18</v>
      </c>
      <c r="G28" s="21">
        <v>35</v>
      </c>
      <c r="H28" s="22"/>
      <c r="I28" s="70" t="str">
        <f>IF(H28="","",3.18*H28*F值!B5)</f>
        <v/>
      </c>
      <c r="J28" s="54" t="str">
        <f t="shared" si="0"/>
        <v>未取樣</v>
      </c>
      <c r="K28" s="69"/>
      <c r="L28" s="53"/>
      <c r="M28" s="101">
        <v>45962</v>
      </c>
      <c r="N28" s="109">
        <v>46081</v>
      </c>
    </row>
    <row r="29" spans="1:14" ht="60" customHeight="1" x14ac:dyDescent="0.25">
      <c r="A29" s="133"/>
      <c r="B29" s="136"/>
      <c r="C29" s="14" t="s">
        <v>40</v>
      </c>
      <c r="D29" s="14" t="s">
        <v>53</v>
      </c>
      <c r="E29" s="19">
        <v>4.5</v>
      </c>
      <c r="F29" s="20" t="s">
        <v>18</v>
      </c>
      <c r="G29" s="21">
        <v>7.5</v>
      </c>
      <c r="H29" s="22"/>
      <c r="I29" s="70" t="str">
        <f>IF(H29="","",0.428*2*H29*F值!B6)</f>
        <v/>
      </c>
      <c r="J29" s="54" t="str">
        <f t="shared" si="0"/>
        <v>未取樣</v>
      </c>
      <c r="K29" s="69"/>
      <c r="L29" s="58"/>
      <c r="M29" s="101">
        <v>45962</v>
      </c>
      <c r="N29" s="109">
        <v>46081</v>
      </c>
    </row>
    <row r="30" spans="1:14" ht="60" customHeight="1" x14ac:dyDescent="0.25">
      <c r="A30" s="133"/>
      <c r="B30" s="150" t="s">
        <v>98</v>
      </c>
      <c r="C30" s="32" t="s">
        <v>99</v>
      </c>
      <c r="D30" s="32" t="s">
        <v>100</v>
      </c>
      <c r="E30" s="39">
        <v>3</v>
      </c>
      <c r="F30" s="20" t="s">
        <v>18</v>
      </c>
      <c r="G30" s="40">
        <v>5</v>
      </c>
      <c r="H30" s="89"/>
      <c r="I30" s="70" t="str">
        <f>IF(H30="","",37.4*H30*F值!B4/10)</f>
        <v/>
      </c>
      <c r="J30" s="54" t="str">
        <f t="shared" si="0"/>
        <v>未取樣</v>
      </c>
      <c r="K30" s="69"/>
      <c r="L30" s="58"/>
      <c r="M30" s="101">
        <v>45996</v>
      </c>
      <c r="N30" s="109">
        <v>46112</v>
      </c>
    </row>
    <row r="31" spans="1:14" ht="60" customHeight="1" x14ac:dyDescent="0.25">
      <c r="A31" s="133"/>
      <c r="B31" s="135"/>
      <c r="C31" s="14" t="s">
        <v>40</v>
      </c>
      <c r="D31" s="32" t="s">
        <v>101</v>
      </c>
      <c r="E31" s="39">
        <v>0.5</v>
      </c>
      <c r="F31" s="20" t="s">
        <v>18</v>
      </c>
      <c r="G31" s="40">
        <v>2.5</v>
      </c>
      <c r="H31" s="89"/>
      <c r="I31" s="70" t="str">
        <f>IF(H31="","",0.428*2*H31*F值!B6)</f>
        <v/>
      </c>
      <c r="J31" s="54" t="str">
        <f>IF(I31="","未取樣",IF(OR(I31&lt;E31,I31&gt;G31),"NG","OK"))</f>
        <v>未取樣</v>
      </c>
      <c r="K31" s="69"/>
      <c r="L31" s="58"/>
      <c r="M31" s="101">
        <v>45996</v>
      </c>
      <c r="N31" s="109">
        <v>46112</v>
      </c>
    </row>
    <row r="32" spans="1:14" ht="60" customHeight="1" x14ac:dyDescent="0.25">
      <c r="A32" s="133"/>
      <c r="B32" s="44" t="s">
        <v>54</v>
      </c>
      <c r="C32" s="14" t="s">
        <v>105</v>
      </c>
      <c r="D32" s="14" t="s">
        <v>37</v>
      </c>
      <c r="E32" s="19">
        <v>4</v>
      </c>
      <c r="F32" s="20" t="s">
        <v>18</v>
      </c>
      <c r="G32" s="21">
        <v>6</v>
      </c>
      <c r="H32" s="89"/>
      <c r="I32" s="88" t="str">
        <f>IF(H32="","",H32*3.2*F值!B4)</f>
        <v/>
      </c>
      <c r="J32" s="54" t="str">
        <f>IF(I32="","未取樣",IF(OR(I32&lt;E32,I32&gt;G32),"NG","OK"))</f>
        <v>未取樣</v>
      </c>
      <c r="K32" s="69"/>
      <c r="L32" s="58"/>
      <c r="M32" s="101">
        <v>45962</v>
      </c>
      <c r="N32" s="109">
        <v>46081</v>
      </c>
    </row>
    <row r="33" spans="1:13" ht="60" customHeight="1" x14ac:dyDescent="0.25">
      <c r="A33" s="134"/>
      <c r="B33" s="46" t="s">
        <v>103</v>
      </c>
      <c r="C33" s="32" t="s">
        <v>16</v>
      </c>
      <c r="D33" s="32" t="s">
        <v>102</v>
      </c>
      <c r="E33" s="39">
        <v>5</v>
      </c>
      <c r="F33" s="120" t="s">
        <v>18</v>
      </c>
      <c r="G33" s="40">
        <v>7</v>
      </c>
      <c r="H33" s="84"/>
      <c r="I33" s="83"/>
      <c r="J33" s="54" t="s">
        <v>104</v>
      </c>
      <c r="K33" s="57"/>
      <c r="L33" s="72"/>
      <c r="M33" s="72"/>
    </row>
    <row r="34" spans="1:13" ht="61.5" customHeight="1" x14ac:dyDescent="0.25">
      <c r="A34" s="47" t="s">
        <v>41</v>
      </c>
      <c r="B34" s="12"/>
      <c r="C34" s="48"/>
      <c r="D34" s="48"/>
      <c r="E34" s="48"/>
      <c r="F34" s="48"/>
      <c r="G34" s="48"/>
      <c r="H34" s="48"/>
      <c r="I34" s="48"/>
      <c r="J34" s="73"/>
    </row>
    <row r="35" spans="1:13" ht="18" customHeight="1" x14ac:dyDescent="0.25">
      <c r="A35" s="121"/>
      <c r="B35" s="122"/>
      <c r="D35" s="12"/>
      <c r="E35" s="12"/>
      <c r="F35" s="12"/>
      <c r="G35" s="12"/>
      <c r="H35" s="12"/>
      <c r="I35" s="12"/>
      <c r="J35" s="74"/>
    </row>
    <row r="36" spans="1:13" ht="18" customHeight="1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3"/>
    </row>
    <row r="37" spans="1:13" ht="18" customHeight="1" x14ac:dyDescent="0.25">
      <c r="A37" s="126"/>
      <c r="B37" s="126"/>
      <c r="C37" s="124"/>
      <c r="D37" s="124"/>
      <c r="E37" s="124"/>
      <c r="F37" s="124"/>
      <c r="G37" s="124"/>
      <c r="H37" s="124"/>
      <c r="I37" s="124"/>
      <c r="J37" s="125"/>
    </row>
    <row r="38" spans="1:13" ht="31.5" customHeight="1" x14ac:dyDescent="0.25">
      <c r="A38" s="50" t="s">
        <v>42</v>
      </c>
      <c r="C38" s="51" t="s">
        <v>43</v>
      </c>
      <c r="H38" s="51" t="s">
        <v>44</v>
      </c>
    </row>
    <row r="39" spans="1:13" ht="18" customHeight="1" x14ac:dyDescent="0.25"/>
  </sheetData>
  <mergeCells count="16">
    <mergeCell ref="K5:M5"/>
    <mergeCell ref="A1:I1"/>
    <mergeCell ref="A2:J2"/>
    <mergeCell ref="B3:J3"/>
    <mergeCell ref="L3:N3"/>
    <mergeCell ref="A20:A25"/>
    <mergeCell ref="A27:A33"/>
    <mergeCell ref="B27:B29"/>
    <mergeCell ref="E6:G6"/>
    <mergeCell ref="A7:A13"/>
    <mergeCell ref="B8:B10"/>
    <mergeCell ref="B11:B12"/>
    <mergeCell ref="A15:A18"/>
    <mergeCell ref="B15:B16"/>
    <mergeCell ref="B17:B18"/>
    <mergeCell ref="B30:B31"/>
  </mergeCells>
  <phoneticPr fontId="17" type="noConversion"/>
  <conditionalFormatting sqref="J7:J33">
    <cfRule type="containsText" dxfId="5" priority="3" operator="containsText" text="NG">
      <formula>NOT(ISERROR(SEARCH("NG",J7)))</formula>
    </cfRule>
  </conditionalFormatting>
  <conditionalFormatting sqref="J12">
    <cfRule type="containsText" dxfId="4" priority="2" operator="containsText" text="未化驗">
      <formula>NOT(ISERROR(SEARCH("未化驗",J12)))</formula>
    </cfRule>
  </conditionalFormatting>
  <pageMargins left="0.7" right="0.7" top="0.75" bottom="0.75" header="0.3" footer="0.3"/>
  <pageSetup paperSize="9" orientation="portrait" r:id="rId1"/>
  <ignoredErrors>
    <ignoredError sqref="I3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5B9C-8874-495F-BEE6-5D316CCD1338}">
  <sheetPr>
    <tabColor indexed="57"/>
    <pageSetUpPr fitToPage="1"/>
  </sheetPr>
  <dimension ref="A1:R36"/>
  <sheetViews>
    <sheetView showGridLines="0" zoomScale="40" zoomScaleNormal="40" workbookViewId="0">
      <selection activeCell="B4" sqref="B4"/>
    </sheetView>
  </sheetViews>
  <sheetFormatPr defaultColWidth="9" defaultRowHeight="30" x14ac:dyDescent="0.25"/>
  <cols>
    <col min="1" max="1" width="14.25" style="11" customWidth="1"/>
    <col min="2" max="2" width="27.875" style="11" customWidth="1"/>
    <col min="3" max="3" width="28.875" style="12" customWidth="1"/>
    <col min="4" max="4" width="21.625" style="11" customWidth="1"/>
    <col min="5" max="5" width="10.625" style="11" customWidth="1"/>
    <col min="6" max="6" width="7.625" style="11" customWidth="1"/>
    <col min="7" max="7" width="10.625" style="11" customWidth="1"/>
    <col min="8" max="9" width="21.625" style="11" customWidth="1"/>
    <col min="10" max="10" width="21.625" style="12" customWidth="1"/>
    <col min="11" max="13" width="30.625" style="13" customWidth="1"/>
    <col min="14" max="14" width="35.625" style="3" customWidth="1"/>
    <col min="15" max="15" width="20.625" style="3" customWidth="1"/>
    <col min="16" max="16" width="5.625" style="3" customWidth="1"/>
    <col min="17" max="17" width="20.625" style="3" customWidth="1"/>
    <col min="18" max="18" width="30.625" style="3" customWidth="1"/>
    <col min="19" max="16384" width="9" style="3"/>
  </cols>
  <sheetData>
    <row r="1" spans="1:13" ht="27.75" customHeight="1" x14ac:dyDescent="0.25">
      <c r="A1" s="153"/>
      <c r="B1" s="153"/>
      <c r="C1" s="153"/>
      <c r="D1" s="153"/>
      <c r="E1" s="153"/>
      <c r="F1" s="153"/>
      <c r="G1" s="153"/>
      <c r="H1" s="153"/>
      <c r="I1" s="153"/>
    </row>
    <row r="2" spans="1:13" ht="50.25" x14ac:dyDescent="0.75">
      <c r="A2" s="154" t="s">
        <v>0</v>
      </c>
      <c r="B2" s="154"/>
      <c r="C2" s="154"/>
      <c r="D2" s="154"/>
      <c r="E2" s="154"/>
      <c r="F2" s="154"/>
      <c r="G2" s="154"/>
      <c r="H2" s="154"/>
      <c r="I2" s="154"/>
      <c r="J2" s="154"/>
    </row>
    <row r="3" spans="1:13" ht="35.1" customHeight="1" x14ac:dyDescent="0.25">
      <c r="A3" s="86" t="s">
        <v>1</v>
      </c>
      <c r="B3" s="155" t="s">
        <v>81</v>
      </c>
      <c r="C3" s="156"/>
      <c r="D3" s="156"/>
      <c r="E3" s="156"/>
      <c r="F3" s="156"/>
      <c r="G3" s="156"/>
      <c r="H3" s="156"/>
      <c r="I3" s="156"/>
      <c r="J3" s="157"/>
    </row>
    <row r="4" spans="1:13" ht="35.1" customHeight="1" x14ac:dyDescent="0.25">
      <c r="A4" s="86" t="s">
        <v>2</v>
      </c>
      <c r="B4" s="104">
        <f>'E 日分析表'!B4</f>
        <v>46136</v>
      </c>
      <c r="C4" s="114"/>
      <c r="D4" s="114"/>
      <c r="E4" s="114"/>
      <c r="F4" s="114"/>
      <c r="G4" s="114"/>
      <c r="H4" s="114"/>
      <c r="I4" s="114"/>
      <c r="J4" s="115"/>
    </row>
    <row r="5" spans="1:13" ht="35.1" customHeight="1" x14ac:dyDescent="0.25">
      <c r="A5" s="86" t="s">
        <v>3</v>
      </c>
      <c r="B5" s="116" t="str">
        <f>'E 日分析表'!B5</f>
        <v>克里斯</v>
      </c>
      <c r="C5" s="117"/>
      <c r="D5" s="117"/>
      <c r="E5" s="117"/>
      <c r="F5" s="117"/>
      <c r="G5" s="117"/>
      <c r="H5" s="117"/>
      <c r="I5" s="117"/>
      <c r="J5" s="118"/>
      <c r="K5" s="166" t="s">
        <v>4</v>
      </c>
      <c r="L5" s="153"/>
      <c r="M5" s="153"/>
    </row>
    <row r="6" spans="1:13" ht="35.1" customHeight="1" x14ac:dyDescent="0.25">
      <c r="A6" s="86" t="s">
        <v>5</v>
      </c>
      <c r="B6" s="86" t="s">
        <v>6</v>
      </c>
      <c r="C6" s="85" t="s">
        <v>7</v>
      </c>
      <c r="D6" s="85" t="s">
        <v>8</v>
      </c>
      <c r="E6" s="137" t="s">
        <v>9</v>
      </c>
      <c r="F6" s="138"/>
      <c r="G6" s="139"/>
      <c r="H6" s="85" t="s">
        <v>10</v>
      </c>
      <c r="I6" s="16" t="s">
        <v>11</v>
      </c>
      <c r="J6" s="85" t="s">
        <v>12</v>
      </c>
      <c r="K6" s="11" t="s">
        <v>13</v>
      </c>
      <c r="L6" s="11" t="s">
        <v>14</v>
      </c>
      <c r="M6" s="11" t="s">
        <v>15</v>
      </c>
    </row>
    <row r="7" spans="1:13" ht="60" customHeight="1" x14ac:dyDescent="0.25">
      <c r="A7" s="140" t="s">
        <v>50</v>
      </c>
      <c r="B7" s="96"/>
      <c r="C7" s="86"/>
      <c r="D7" s="86"/>
      <c r="E7" s="19"/>
      <c r="F7" s="20"/>
      <c r="G7" s="21"/>
      <c r="H7" s="89"/>
      <c r="I7" s="52" t="str">
        <f>IF(H7="","",3.2*H7*[1]F值!B4)</f>
        <v/>
      </c>
      <c r="J7" s="75" t="str">
        <f t="shared" ref="J7:J13" si="0">IF(I7="","未取樣",IF(OR(I7&lt;E7,I7&gt;G7),"NG","OK"))</f>
        <v>未取樣</v>
      </c>
      <c r="L7" s="53"/>
      <c r="M7" s="53"/>
    </row>
    <row r="8" spans="1:13" ht="60" customHeight="1" x14ac:dyDescent="0.25">
      <c r="A8" s="141"/>
      <c r="B8" s="141"/>
      <c r="C8" s="23"/>
      <c r="D8" s="95"/>
      <c r="E8" s="78"/>
      <c r="F8" s="20"/>
      <c r="G8" s="25"/>
      <c r="H8" s="89"/>
      <c r="I8" s="52" t="str">
        <f>IF(H8="","",3.177*H8*[1]F值!B5)</f>
        <v/>
      </c>
      <c r="J8" s="75" t="str">
        <f t="shared" si="0"/>
        <v>未取樣</v>
      </c>
      <c r="L8" s="53"/>
      <c r="M8" s="53"/>
    </row>
    <row r="9" spans="1:13" ht="60" customHeight="1" x14ac:dyDescent="0.25">
      <c r="A9" s="141"/>
      <c r="B9" s="142"/>
      <c r="C9" s="86"/>
      <c r="D9" s="86"/>
      <c r="E9" s="19"/>
      <c r="F9" s="20"/>
      <c r="G9" s="21"/>
      <c r="H9" s="84"/>
      <c r="I9" s="55"/>
      <c r="J9" s="75" t="str">
        <f t="shared" si="0"/>
        <v>未取樣</v>
      </c>
      <c r="L9" s="53"/>
      <c r="M9" s="53"/>
    </row>
    <row r="10" spans="1:13" ht="60" customHeight="1" x14ac:dyDescent="0.25">
      <c r="A10" s="141"/>
      <c r="B10" s="143"/>
      <c r="C10" s="86"/>
      <c r="D10" s="86"/>
      <c r="E10" s="19"/>
      <c r="F10" s="20"/>
      <c r="G10" s="21"/>
      <c r="H10" s="84"/>
      <c r="I10" s="55"/>
      <c r="J10" s="75" t="str">
        <f t="shared" si="0"/>
        <v>未取樣</v>
      </c>
      <c r="L10" s="53"/>
      <c r="M10" s="53"/>
    </row>
    <row r="11" spans="1:13" ht="60" customHeight="1" x14ac:dyDescent="0.25">
      <c r="A11" s="141"/>
      <c r="B11" s="140"/>
      <c r="C11" s="86"/>
      <c r="D11" s="86"/>
      <c r="E11" s="19"/>
      <c r="F11" s="20"/>
      <c r="G11" s="21"/>
      <c r="H11" s="89"/>
      <c r="I11" s="52" t="str">
        <f>IF(H11="","",3.2*H11*[1]F值!B4)</f>
        <v/>
      </c>
      <c r="J11" s="75" t="str">
        <f t="shared" si="0"/>
        <v>未取樣</v>
      </c>
      <c r="L11" s="53"/>
      <c r="M11" s="53"/>
    </row>
    <row r="12" spans="1:13" ht="60" customHeight="1" x14ac:dyDescent="0.25">
      <c r="A12" s="141"/>
      <c r="B12" s="143"/>
      <c r="C12" s="23"/>
      <c r="D12" s="23"/>
      <c r="E12" s="27"/>
      <c r="F12" s="20"/>
      <c r="G12" s="28"/>
      <c r="H12" s="89"/>
      <c r="I12" s="52" t="str">
        <f>IF(H12="","",H12*1.5885*2/25*1000)</f>
        <v/>
      </c>
      <c r="J12" s="75" t="str">
        <f t="shared" si="0"/>
        <v>未取樣</v>
      </c>
      <c r="L12" s="53"/>
      <c r="M12" s="53"/>
    </row>
    <row r="13" spans="1:13" ht="60" customHeight="1" x14ac:dyDescent="0.25">
      <c r="A13" s="141"/>
      <c r="B13" s="17"/>
      <c r="C13" s="23"/>
      <c r="D13" s="85"/>
      <c r="E13" s="19"/>
      <c r="F13" s="20"/>
      <c r="G13" s="76"/>
      <c r="H13" s="29"/>
      <c r="I13" s="56"/>
      <c r="J13" s="75" t="str">
        <f t="shared" si="0"/>
        <v>未取樣</v>
      </c>
      <c r="K13" s="57"/>
      <c r="L13" s="58"/>
      <c r="M13" s="58"/>
    </row>
    <row r="14" spans="1:13" ht="9.9499999999999993" customHeight="1" x14ac:dyDescent="0.25">
      <c r="A14" s="16"/>
      <c r="B14" s="30"/>
      <c r="C14" s="30"/>
      <c r="D14" s="30"/>
      <c r="E14" s="30"/>
      <c r="F14" s="30"/>
      <c r="G14" s="30"/>
      <c r="H14" s="31"/>
      <c r="I14" s="59"/>
      <c r="J14" s="60"/>
      <c r="K14" s="61"/>
      <c r="L14" s="58"/>
      <c r="M14" s="58"/>
    </row>
    <row r="15" spans="1:13" ht="60" customHeight="1" x14ac:dyDescent="0.25">
      <c r="A15" s="144" t="s">
        <v>29</v>
      </c>
      <c r="B15" s="147"/>
      <c r="C15" s="32"/>
      <c r="D15" s="32"/>
      <c r="E15" s="19"/>
      <c r="F15" s="20"/>
      <c r="G15" s="21"/>
      <c r="H15" s="33"/>
      <c r="I15" s="62" t="str">
        <f>IF(H15="","",0.0212*4*H15*[1]F值!B3)</f>
        <v/>
      </c>
      <c r="J15" s="54" t="str">
        <f>IF(I15="","未取樣",IF(OR(I15&lt;E15,I15&gt;G15),"NG","OK"))</f>
        <v>未取樣</v>
      </c>
      <c r="K15" s="61"/>
      <c r="L15" s="58"/>
      <c r="M15" s="58"/>
    </row>
    <row r="16" spans="1:13" ht="60" customHeight="1" x14ac:dyDescent="0.25">
      <c r="A16" s="145"/>
      <c r="B16" s="148"/>
      <c r="C16" s="34"/>
      <c r="D16" s="85"/>
      <c r="E16" s="35"/>
      <c r="F16" s="20"/>
      <c r="G16" s="77"/>
      <c r="H16" s="84"/>
      <c r="I16" s="63"/>
      <c r="J16" s="54" t="str">
        <f>IF(I16="","未取樣",IF(OR(I16&lt;E16,I16&gt;G16),"NG","OK"))</f>
        <v>未取樣</v>
      </c>
      <c r="K16" s="61"/>
      <c r="L16" s="58"/>
      <c r="M16" s="58"/>
    </row>
    <row r="17" spans="1:18" ht="60" customHeight="1" x14ac:dyDescent="0.25">
      <c r="A17" s="145"/>
      <c r="B17" s="147"/>
      <c r="C17" s="23"/>
      <c r="D17" s="23"/>
      <c r="E17" s="27"/>
      <c r="F17" s="20"/>
      <c r="G17" s="28"/>
      <c r="H17" s="36"/>
      <c r="I17" s="64" t="str">
        <f>IF(H17="","",0.0212*4*H17*[1]F值!B3)</f>
        <v/>
      </c>
      <c r="J17" s="54" t="str">
        <f>IF(I17="","未取樣",IF(OR(I17&lt;E17,I17&gt;G17),"NG","OK"))</f>
        <v>未取樣</v>
      </c>
      <c r="K17" s="61"/>
      <c r="L17" s="58"/>
      <c r="M17" s="65"/>
    </row>
    <row r="18" spans="1:18" ht="60" customHeight="1" x14ac:dyDescent="0.25">
      <c r="A18" s="146"/>
      <c r="B18" s="149"/>
      <c r="C18" s="37"/>
      <c r="D18" s="85"/>
      <c r="E18" s="19"/>
      <c r="F18" s="20"/>
      <c r="G18" s="76"/>
      <c r="H18" s="84"/>
      <c r="I18" s="83"/>
      <c r="J18" s="54" t="str">
        <f>IF(I18="","未取樣",IF(OR(I18&lt;E18,I18&gt;G18),"NG","OK"))</f>
        <v>未取樣</v>
      </c>
      <c r="K18" s="61"/>
      <c r="L18" s="58"/>
      <c r="M18" s="58"/>
    </row>
    <row r="19" spans="1:18" ht="9.9499999999999993" customHeight="1" x14ac:dyDescent="0.25">
      <c r="A19" s="16"/>
      <c r="B19" s="30"/>
      <c r="C19" s="30"/>
      <c r="D19" s="30"/>
      <c r="E19" s="30"/>
      <c r="F19" s="30"/>
      <c r="G19" s="30"/>
      <c r="H19" s="31"/>
      <c r="I19" s="59"/>
      <c r="J19" s="60"/>
      <c r="K19" s="61"/>
      <c r="L19" s="58"/>
      <c r="M19" s="58"/>
    </row>
    <row r="20" spans="1:18" ht="60" customHeight="1" x14ac:dyDescent="0.25">
      <c r="A20" s="129" t="s">
        <v>34</v>
      </c>
      <c r="B20" s="38" t="s">
        <v>79</v>
      </c>
      <c r="C20" s="86" t="s">
        <v>35</v>
      </c>
      <c r="D20" s="32" t="s">
        <v>36</v>
      </c>
      <c r="E20" s="39">
        <v>10</v>
      </c>
      <c r="F20" s="20" t="s">
        <v>18</v>
      </c>
      <c r="G20" s="40">
        <v>14</v>
      </c>
      <c r="H20" s="41"/>
      <c r="I20" s="52" t="str">
        <f>IF(H20="","",H20/5*6.98*[1]F值!B3)</f>
        <v/>
      </c>
      <c r="J20" s="54" t="str">
        <f>IF(I20="","未取樣",IF(OR(I20&lt;E20,I20&gt;G20),"NG","OK"))</f>
        <v>未取樣</v>
      </c>
      <c r="K20" s="107">
        <v>2512001</v>
      </c>
      <c r="L20" s="101">
        <v>45992</v>
      </c>
      <c r="M20" s="109">
        <v>46081</v>
      </c>
    </row>
    <row r="21" spans="1:18" ht="60" customHeight="1" x14ac:dyDescent="0.25">
      <c r="A21" s="130"/>
      <c r="B21" s="94"/>
      <c r="C21" s="86"/>
      <c r="D21" s="32"/>
      <c r="E21" s="39"/>
      <c r="F21" s="20"/>
      <c r="G21" s="40"/>
      <c r="H21" s="89"/>
      <c r="I21" s="52" t="str">
        <f>IF(H21="","",H21/5*6.98*[1]F值!B3)</f>
        <v/>
      </c>
      <c r="J21" s="54" t="str">
        <f>IF(I21="","未取樣",IF(OR(I21&lt;E21,I21&gt;G21),"NG","OK"))</f>
        <v>未取樣</v>
      </c>
      <c r="K21" s="107"/>
      <c r="L21" s="101"/>
      <c r="M21" s="109"/>
    </row>
    <row r="22" spans="1:18" ht="60" customHeight="1" x14ac:dyDescent="0.25">
      <c r="A22" s="130"/>
      <c r="B22" s="43"/>
      <c r="C22" s="86"/>
      <c r="D22" s="32"/>
      <c r="E22" s="39"/>
      <c r="F22" s="20"/>
      <c r="G22" s="40"/>
      <c r="H22" s="41"/>
      <c r="I22" s="52" t="str">
        <f>IF(H22="","",H22/5*6.98*[1]F值!B5)</f>
        <v/>
      </c>
      <c r="J22" s="54" t="str">
        <f>IF(I22="","未取樣",IF(OR(I22&lt;E22,I22&gt;G22),"NG","OK"))</f>
        <v>未取樣</v>
      </c>
      <c r="K22" s="107"/>
      <c r="L22" s="101"/>
      <c r="M22" s="109"/>
    </row>
    <row r="23" spans="1:18" ht="60" customHeight="1" x14ac:dyDescent="0.25">
      <c r="A23" s="131"/>
      <c r="B23" s="43"/>
      <c r="C23" s="32"/>
      <c r="D23" s="32"/>
      <c r="E23" s="19"/>
      <c r="F23" s="20"/>
      <c r="G23" s="21"/>
      <c r="H23" s="41"/>
      <c r="I23" s="67" t="str">
        <f>IF(H23="","",3.2*H23*[1]F值!B4)</f>
        <v/>
      </c>
      <c r="J23" s="54" t="str">
        <f>IF(I23="","未取樣",IF(OR(I23&lt;E23,I23&gt;G23),"NG","OK"))</f>
        <v>未取樣</v>
      </c>
      <c r="K23" s="107"/>
      <c r="L23" s="101"/>
      <c r="M23" s="109"/>
    </row>
    <row r="24" spans="1:18" ht="9.9499999999999993" customHeight="1" x14ac:dyDescent="0.25">
      <c r="A24" s="16"/>
      <c r="B24" s="30"/>
      <c r="C24" s="30"/>
      <c r="D24" s="30"/>
      <c r="E24" s="30"/>
      <c r="F24" s="30"/>
      <c r="G24" s="30"/>
      <c r="H24" s="31"/>
      <c r="I24" s="59"/>
      <c r="J24" s="60"/>
      <c r="K24" s="107"/>
      <c r="L24" s="101"/>
      <c r="M24" s="109"/>
    </row>
    <row r="25" spans="1:18" ht="60" customHeight="1" x14ac:dyDescent="0.25">
      <c r="A25" s="132" t="s">
        <v>80</v>
      </c>
      <c r="B25" s="132" t="s">
        <v>79</v>
      </c>
      <c r="C25" s="86" t="s">
        <v>78</v>
      </c>
      <c r="D25" s="86" t="s">
        <v>52</v>
      </c>
      <c r="E25" s="19">
        <v>3</v>
      </c>
      <c r="F25" s="20" t="s">
        <v>18</v>
      </c>
      <c r="G25" s="21">
        <v>5</v>
      </c>
      <c r="H25" s="36"/>
      <c r="I25" s="68" t="str">
        <f>IF(H25="","",37.4*H25*[1]F值!B4/10)</f>
        <v/>
      </c>
      <c r="J25" s="54" t="str">
        <f>IF(I25="","未取樣",IF(OR(I25&lt;E25,I25&gt;G25),"NG","OK"))</f>
        <v>未取樣</v>
      </c>
      <c r="K25" s="108">
        <v>2512003</v>
      </c>
      <c r="L25" s="101">
        <v>45996</v>
      </c>
      <c r="M25" s="109">
        <v>46112</v>
      </c>
      <c r="N25" s="93" t="s">
        <v>77</v>
      </c>
      <c r="O25" s="92" t="s">
        <v>76</v>
      </c>
      <c r="P25" s="92" t="s">
        <v>75</v>
      </c>
      <c r="Q25" s="92" t="s">
        <v>74</v>
      </c>
      <c r="R25" s="92" t="s">
        <v>73</v>
      </c>
    </row>
    <row r="26" spans="1:18" ht="60" customHeight="1" x14ac:dyDescent="0.25">
      <c r="A26" s="133"/>
      <c r="B26" s="134"/>
      <c r="C26" s="86" t="s">
        <v>40</v>
      </c>
      <c r="D26" s="86" t="s">
        <v>72</v>
      </c>
      <c r="E26" s="91">
        <v>0.5</v>
      </c>
      <c r="F26" s="20" t="s">
        <v>18</v>
      </c>
      <c r="G26" s="21">
        <v>2.5</v>
      </c>
      <c r="H26" s="89"/>
      <c r="I26" s="88" t="str">
        <f>IF(H26="","",0.428*H26*2)</f>
        <v/>
      </c>
      <c r="J26" s="54" t="str">
        <f>IF(I26="","未取樣",IF(OR(I26&lt;E26,I26&gt;G26),"NG","OK"))</f>
        <v>未取樣</v>
      </c>
      <c r="K26" s="108">
        <v>2512006</v>
      </c>
      <c r="L26" s="101">
        <v>45996</v>
      </c>
      <c r="M26" s="109">
        <v>46112</v>
      </c>
    </row>
    <row r="27" spans="1:18" ht="60" customHeight="1" x14ac:dyDescent="0.25">
      <c r="A27" s="133"/>
      <c r="B27" s="90"/>
      <c r="C27" s="86" t="s">
        <v>71</v>
      </c>
      <c r="D27" s="32" t="s">
        <v>37</v>
      </c>
      <c r="E27" s="39">
        <v>4</v>
      </c>
      <c r="F27" s="20" t="s">
        <v>18</v>
      </c>
      <c r="G27" s="40">
        <v>6</v>
      </c>
      <c r="H27" s="89"/>
      <c r="I27" s="88" t="str">
        <f>IF(H27="","",3.2*H27*[2]F值!B3)</f>
        <v/>
      </c>
      <c r="J27" s="54" t="str">
        <f>IF(I27="","未取樣",IF(OR(I27&lt;E27,I27&gt;G27),"NG","OK"))</f>
        <v>未取樣</v>
      </c>
      <c r="K27" s="69"/>
      <c r="L27" s="58"/>
      <c r="M27" s="58"/>
    </row>
    <row r="28" spans="1:18" ht="60" customHeight="1" x14ac:dyDescent="0.25">
      <c r="A28" s="133"/>
      <c r="B28" s="44"/>
      <c r="C28" s="32"/>
      <c r="D28" s="32"/>
      <c r="E28" s="39"/>
      <c r="F28" s="20"/>
      <c r="G28" s="40"/>
      <c r="H28" s="45"/>
      <c r="I28" s="71" t="str">
        <f>IF(H28="","",3.2*H28*[1]F值!B4)</f>
        <v/>
      </c>
      <c r="J28" s="54" t="str">
        <f>IF(I28="","未取樣",IF(OR(I28&lt;E28,I28&gt;G28),"NG","OK"))</f>
        <v>未取樣</v>
      </c>
      <c r="K28" s="69"/>
      <c r="L28" s="58"/>
      <c r="M28" s="58"/>
      <c r="O28" s="3">
        <v>1.1000000000000001</v>
      </c>
    </row>
    <row r="29" spans="1:18" ht="60" customHeight="1" x14ac:dyDescent="0.25">
      <c r="A29" s="134"/>
      <c r="B29" s="87"/>
      <c r="C29" s="86"/>
      <c r="D29" s="85"/>
      <c r="E29" s="19"/>
      <c r="F29" s="20"/>
      <c r="G29" s="76"/>
      <c r="H29" s="84" t="s">
        <v>51</v>
      </c>
      <c r="I29" s="83"/>
      <c r="J29" s="54" t="str">
        <f>IF(I29="","未取樣",IF(OR(I29&lt;E29,I29&gt;G29),"NG","OK"))</f>
        <v>未取樣</v>
      </c>
      <c r="K29" s="57"/>
      <c r="L29" s="72"/>
      <c r="M29" s="72"/>
    </row>
    <row r="30" spans="1:18" ht="18" customHeight="1" x14ac:dyDescent="0.25">
      <c r="A30" s="47" t="s">
        <v>41</v>
      </c>
      <c r="B30" s="48"/>
      <c r="C30" s="48"/>
      <c r="D30" s="48"/>
      <c r="E30" s="48"/>
      <c r="F30" s="48"/>
      <c r="G30" s="48"/>
      <c r="H30" s="48"/>
      <c r="I30" s="48"/>
      <c r="J30" s="73"/>
    </row>
    <row r="31" spans="1:18" ht="18" customHeight="1" x14ac:dyDescent="0.25">
      <c r="A31" s="49"/>
      <c r="B31" s="12"/>
      <c r="D31" s="12"/>
      <c r="E31" s="12"/>
      <c r="F31" s="12"/>
      <c r="G31" s="12"/>
      <c r="H31" s="12"/>
      <c r="I31" s="12"/>
      <c r="J31" s="74"/>
    </row>
    <row r="32" spans="1:18" ht="18" customHeight="1" x14ac:dyDescent="0.25">
      <c r="A32" s="160"/>
      <c r="B32" s="161"/>
      <c r="C32" s="167"/>
      <c r="D32" s="167"/>
      <c r="E32" s="167"/>
      <c r="F32" s="167"/>
      <c r="G32" s="167"/>
      <c r="H32" s="167"/>
      <c r="I32" s="167"/>
      <c r="J32" s="168"/>
    </row>
    <row r="33" spans="1:10" ht="18" customHeight="1" x14ac:dyDescent="0.25">
      <c r="A33" s="169"/>
      <c r="B33" s="170"/>
      <c r="C33" s="170"/>
      <c r="D33" s="170"/>
      <c r="E33" s="170"/>
      <c r="F33" s="170"/>
      <c r="G33" s="170"/>
      <c r="H33" s="170"/>
      <c r="I33" s="170"/>
      <c r="J33" s="171"/>
    </row>
    <row r="34" spans="1:10" ht="18" customHeight="1" x14ac:dyDescent="0.25">
      <c r="A34" s="50" t="s">
        <v>42</v>
      </c>
      <c r="C34" s="51" t="s">
        <v>43</v>
      </c>
      <c r="H34" s="51" t="s">
        <v>44</v>
      </c>
    </row>
    <row r="35" spans="1:10" ht="18" customHeight="1" x14ac:dyDescent="0.25"/>
    <row r="36" spans="1:10" ht="18" customHeight="1" x14ac:dyDescent="0.25"/>
  </sheetData>
  <mergeCells count="15">
    <mergeCell ref="A7:A13"/>
    <mergeCell ref="A15:A18"/>
    <mergeCell ref="A20:A23"/>
    <mergeCell ref="A32:J33"/>
    <mergeCell ref="A25:A29"/>
    <mergeCell ref="B8:B10"/>
    <mergeCell ref="B11:B12"/>
    <mergeCell ref="B15:B16"/>
    <mergeCell ref="B17:B18"/>
    <mergeCell ref="B25:B26"/>
    <mergeCell ref="K5:M5"/>
    <mergeCell ref="A1:I1"/>
    <mergeCell ref="A2:J2"/>
    <mergeCell ref="B3:J3"/>
    <mergeCell ref="E6:G6"/>
  </mergeCells>
  <phoneticPr fontId="22" type="noConversion"/>
  <conditionalFormatting sqref="J7:J29">
    <cfRule type="containsText" dxfId="3" priority="2" operator="containsText" text="NG">
      <formula>NOT(ISERROR(SEARCH("NG",J7)))</formula>
    </cfRule>
  </conditionalFormatting>
  <conditionalFormatting sqref="J12">
    <cfRule type="containsText" dxfId="2" priority="1" operator="containsText" text="未化驗">
      <formula>NOT(ISERROR(SEARCH("未化驗",J12)))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5AF6-86FA-43FC-A245-EE2E180DB5A4}">
  <sheetPr>
    <tabColor indexed="57"/>
    <pageSetUpPr fitToPage="1"/>
  </sheetPr>
  <dimension ref="A1:M20"/>
  <sheetViews>
    <sheetView showGridLines="0" showZeros="0" tabSelected="1" topLeftCell="A4" zoomScale="60" zoomScaleNormal="60" workbookViewId="0">
      <selection activeCell="K9" sqref="K9"/>
    </sheetView>
  </sheetViews>
  <sheetFormatPr defaultColWidth="9" defaultRowHeight="30" x14ac:dyDescent="0.25"/>
  <cols>
    <col min="1" max="1" width="14.25" style="11" customWidth="1"/>
    <col min="2" max="2" width="27.875" style="11" customWidth="1"/>
    <col min="3" max="3" width="28.875" style="12" customWidth="1"/>
    <col min="4" max="4" width="21.625" style="11" customWidth="1"/>
    <col min="5" max="5" width="10.625" style="11" customWidth="1"/>
    <col min="6" max="6" width="7.625" style="11" customWidth="1"/>
    <col min="7" max="7" width="10.625" style="11" customWidth="1"/>
    <col min="8" max="9" width="21.625" style="11" customWidth="1"/>
    <col min="10" max="10" width="21.625" style="12" customWidth="1"/>
    <col min="11" max="11" width="32.75" style="13" customWidth="1"/>
    <col min="12" max="13" width="30.125" style="13" customWidth="1"/>
    <col min="14" max="14" width="21.625" style="3" customWidth="1"/>
    <col min="15" max="16384" width="9" style="3"/>
  </cols>
  <sheetData>
    <row r="1" spans="1:13" ht="27.75" customHeight="1" x14ac:dyDescent="0.25">
      <c r="A1" s="153"/>
      <c r="B1" s="153"/>
      <c r="C1" s="153"/>
      <c r="D1" s="153"/>
      <c r="E1" s="153"/>
      <c r="F1" s="153"/>
      <c r="G1" s="153"/>
      <c r="H1" s="153"/>
      <c r="I1" s="153"/>
    </row>
    <row r="2" spans="1:13" ht="50.25" x14ac:dyDescent="0.75">
      <c r="A2" s="154" t="s">
        <v>0</v>
      </c>
      <c r="B2" s="154"/>
      <c r="C2" s="154"/>
      <c r="D2" s="154"/>
      <c r="E2" s="154"/>
      <c r="F2" s="154"/>
      <c r="G2" s="154"/>
      <c r="H2" s="154"/>
      <c r="I2" s="154"/>
      <c r="J2" s="154"/>
    </row>
    <row r="3" spans="1:13" ht="35.1" customHeight="1" x14ac:dyDescent="0.25">
      <c r="A3" s="86" t="s">
        <v>1</v>
      </c>
      <c r="B3" s="155" t="s">
        <v>81</v>
      </c>
      <c r="C3" s="156"/>
      <c r="D3" s="156"/>
      <c r="E3" s="156"/>
      <c r="F3" s="156"/>
      <c r="G3" s="156"/>
      <c r="H3" s="156"/>
      <c r="I3" s="156"/>
      <c r="J3" s="157"/>
    </row>
    <row r="4" spans="1:13" ht="35.1" customHeight="1" x14ac:dyDescent="0.25">
      <c r="A4" s="86" t="s">
        <v>2</v>
      </c>
      <c r="B4" s="104">
        <f>'E 日分析表'!B4</f>
        <v>46136</v>
      </c>
      <c r="C4" s="114"/>
      <c r="D4" s="114"/>
      <c r="E4" s="114"/>
      <c r="F4" s="114"/>
      <c r="G4" s="114"/>
      <c r="H4" s="114"/>
      <c r="I4" s="114"/>
      <c r="J4" s="115"/>
    </row>
    <row r="5" spans="1:13" ht="35.1" customHeight="1" x14ac:dyDescent="0.25">
      <c r="A5" s="86" t="s">
        <v>3</v>
      </c>
      <c r="B5" s="116" t="str">
        <f>'E 日分析表'!B5</f>
        <v>克里斯</v>
      </c>
      <c r="C5" s="117"/>
      <c r="D5" s="117"/>
      <c r="E5" s="117"/>
      <c r="F5" s="117"/>
      <c r="G5" s="117"/>
      <c r="H5" s="117"/>
      <c r="I5" s="117"/>
      <c r="J5" s="118"/>
      <c r="K5" s="151" t="s">
        <v>4</v>
      </c>
      <c r="L5" s="152"/>
      <c r="M5" s="152"/>
    </row>
    <row r="6" spans="1:13" ht="35.1" customHeight="1" x14ac:dyDescent="0.25">
      <c r="A6" s="86" t="s">
        <v>5</v>
      </c>
      <c r="B6" s="86" t="s">
        <v>6</v>
      </c>
      <c r="C6" s="85" t="s">
        <v>7</v>
      </c>
      <c r="D6" s="85" t="s">
        <v>8</v>
      </c>
      <c r="E6" s="137" t="s">
        <v>9</v>
      </c>
      <c r="F6" s="138"/>
      <c r="G6" s="139"/>
      <c r="H6" s="85" t="s">
        <v>10</v>
      </c>
      <c r="I6" s="16" t="s">
        <v>11</v>
      </c>
      <c r="J6" s="85" t="s">
        <v>12</v>
      </c>
      <c r="K6" s="13" t="s">
        <v>13</v>
      </c>
      <c r="L6" s="13" t="s">
        <v>14</v>
      </c>
      <c r="M6" s="13" t="s">
        <v>15</v>
      </c>
    </row>
    <row r="7" spans="1:13" ht="50.1" customHeight="1" x14ac:dyDescent="0.25">
      <c r="A7" s="172" t="s">
        <v>82</v>
      </c>
      <c r="B7" s="174" t="s">
        <v>83</v>
      </c>
      <c r="C7" s="86" t="s">
        <v>84</v>
      </c>
      <c r="D7" s="86" t="s">
        <v>85</v>
      </c>
      <c r="E7" s="19">
        <v>150</v>
      </c>
      <c r="F7" s="20" t="s">
        <v>18</v>
      </c>
      <c r="G7" s="21">
        <v>400</v>
      </c>
      <c r="H7" s="89">
        <v>2.8</v>
      </c>
      <c r="I7" s="52">
        <f>IF(H7="","",(25-H7)*13.3)</f>
        <v>295.26</v>
      </c>
      <c r="J7" s="75" t="str">
        <f>IF(I7="","未取樣",IF(OR(I7&lt;E7,I7&gt;G7),"NG","OK"))</f>
        <v>OK</v>
      </c>
      <c r="L7" s="53"/>
      <c r="M7" s="53"/>
    </row>
    <row r="8" spans="1:13" ht="50.1" customHeight="1" x14ac:dyDescent="0.25">
      <c r="A8" s="173"/>
      <c r="B8" s="174"/>
      <c r="C8" s="23" t="s">
        <v>86</v>
      </c>
      <c r="D8" s="95" t="s">
        <v>87</v>
      </c>
      <c r="E8" s="98">
        <v>0.3</v>
      </c>
      <c r="F8" s="20" t="s">
        <v>18</v>
      </c>
      <c r="G8" s="25">
        <v>0.8</v>
      </c>
      <c r="H8" s="89">
        <v>0.36399999999999999</v>
      </c>
      <c r="I8" s="52">
        <f>IF(H8="","",H8*0.93)</f>
        <v>0.33851999999999999</v>
      </c>
      <c r="J8" s="75" t="str">
        <f t="shared" ref="J8:J13" si="0">IF(I8="","未取樣",IF(OR(I8&lt;E8,I8&gt;G8),"NG","OK"))</f>
        <v>OK</v>
      </c>
      <c r="K8" s="127" t="s">
        <v>122</v>
      </c>
      <c r="L8" s="53"/>
      <c r="M8" s="53"/>
    </row>
    <row r="9" spans="1:13" ht="50.1" customHeight="1" x14ac:dyDescent="0.25">
      <c r="A9" s="173"/>
      <c r="B9" s="174"/>
      <c r="C9" s="86" t="s">
        <v>22</v>
      </c>
      <c r="D9" s="86" t="s">
        <v>88</v>
      </c>
      <c r="E9" s="19">
        <v>24</v>
      </c>
      <c r="F9" s="20" t="s">
        <v>18</v>
      </c>
      <c r="G9" s="21">
        <v>45</v>
      </c>
      <c r="H9" s="84" t="s">
        <v>23</v>
      </c>
      <c r="I9" s="55">
        <v>30.3</v>
      </c>
      <c r="J9" s="75" t="str">
        <f t="shared" si="0"/>
        <v>OK</v>
      </c>
      <c r="K9" s="128" t="s">
        <v>123</v>
      </c>
      <c r="L9" s="53"/>
      <c r="M9" s="53"/>
    </row>
    <row r="10" spans="1:13" ht="50.1" customHeight="1" x14ac:dyDescent="0.25">
      <c r="A10" s="173"/>
      <c r="B10" s="174"/>
      <c r="C10" s="86" t="s">
        <v>32</v>
      </c>
      <c r="D10" s="86" t="s">
        <v>89</v>
      </c>
      <c r="E10" s="19">
        <v>9.8000000000000007</v>
      </c>
      <c r="F10" s="20" t="s">
        <v>18</v>
      </c>
      <c r="G10" s="21">
        <v>10.199999999999999</v>
      </c>
      <c r="H10" s="84" t="s">
        <v>23</v>
      </c>
      <c r="I10" s="55">
        <v>10</v>
      </c>
      <c r="J10" s="75" t="str">
        <f t="shared" si="0"/>
        <v>OK</v>
      </c>
      <c r="K10" s="11"/>
      <c r="L10" s="53"/>
      <c r="M10" s="53"/>
    </row>
    <row r="11" spans="1:13" ht="50.1" customHeight="1" x14ac:dyDescent="0.25">
      <c r="A11" s="173"/>
      <c r="B11" s="97" t="s">
        <v>90</v>
      </c>
      <c r="C11" s="86" t="s">
        <v>91</v>
      </c>
      <c r="D11" s="86" t="s">
        <v>92</v>
      </c>
      <c r="E11" s="19">
        <v>80</v>
      </c>
      <c r="F11" s="20" t="s">
        <v>18</v>
      </c>
      <c r="G11" s="21">
        <v>120</v>
      </c>
      <c r="H11" s="52">
        <v>3.7</v>
      </c>
      <c r="I11" s="52">
        <f>IF(H11="","",H11*7.5*4*[3]F值!B4)</f>
        <v>108.78</v>
      </c>
      <c r="J11" s="75" t="str">
        <f t="shared" si="0"/>
        <v>OK</v>
      </c>
      <c r="L11" s="53"/>
      <c r="M11" s="53"/>
    </row>
    <row r="12" spans="1:13" ht="50.1" customHeight="1" x14ac:dyDescent="0.25">
      <c r="A12" s="173"/>
      <c r="B12" s="99" t="s">
        <v>93</v>
      </c>
      <c r="C12" s="23" t="s">
        <v>94</v>
      </c>
      <c r="D12" s="23" t="s">
        <v>37</v>
      </c>
      <c r="E12" s="27">
        <v>4</v>
      </c>
      <c r="F12" s="20" t="s">
        <v>18</v>
      </c>
      <c r="G12" s="28">
        <v>6</v>
      </c>
      <c r="H12" s="52">
        <v>1.6</v>
      </c>
      <c r="I12" s="52">
        <f>IF(H12="","",H12*3.2*[3]F值!B6)</f>
        <v>5.120000000000001</v>
      </c>
      <c r="J12" s="75" t="str">
        <f t="shared" si="0"/>
        <v>OK</v>
      </c>
      <c r="L12" s="53"/>
      <c r="M12" s="53"/>
    </row>
    <row r="13" spans="1:13" ht="50.1" customHeight="1" x14ac:dyDescent="0.25">
      <c r="A13" s="173"/>
      <c r="B13" s="97" t="s">
        <v>95</v>
      </c>
      <c r="C13" s="23" t="s">
        <v>32</v>
      </c>
      <c r="D13" s="85" t="s">
        <v>28</v>
      </c>
      <c r="E13" s="19">
        <v>5</v>
      </c>
      <c r="F13" s="20" t="s">
        <v>18</v>
      </c>
      <c r="G13" s="76">
        <v>999</v>
      </c>
      <c r="H13" s="29" t="s">
        <v>23</v>
      </c>
      <c r="I13" s="56">
        <v>3.76</v>
      </c>
      <c r="J13" s="75" t="str">
        <f t="shared" si="0"/>
        <v>NG</v>
      </c>
      <c r="K13" s="57"/>
      <c r="L13" s="58"/>
      <c r="M13" s="58"/>
    </row>
    <row r="14" spans="1:13" ht="18" customHeight="1" x14ac:dyDescent="0.25">
      <c r="A14" s="47" t="s">
        <v>41</v>
      </c>
      <c r="B14" s="48"/>
      <c r="C14" s="48"/>
      <c r="D14" s="48"/>
      <c r="E14" s="48"/>
      <c r="F14" s="48"/>
      <c r="G14" s="48"/>
      <c r="H14" s="48"/>
      <c r="I14" s="48" t="s">
        <v>97</v>
      </c>
      <c r="J14" s="73"/>
    </row>
    <row r="15" spans="1:13" ht="18" customHeight="1" x14ac:dyDescent="0.25">
      <c r="A15" s="49"/>
      <c r="B15" s="12"/>
      <c r="D15" s="12"/>
      <c r="E15" s="12"/>
      <c r="F15" s="12"/>
      <c r="G15" s="12"/>
      <c r="H15" s="12"/>
      <c r="I15" s="12"/>
      <c r="J15" s="74"/>
    </row>
    <row r="16" spans="1:13" ht="18" customHeight="1" x14ac:dyDescent="0.25">
      <c r="A16" s="160"/>
      <c r="B16" s="161"/>
      <c r="C16" s="167"/>
      <c r="D16" s="167"/>
      <c r="E16" s="167"/>
      <c r="F16" s="167"/>
      <c r="G16" s="167"/>
      <c r="H16" s="167"/>
      <c r="I16" s="167"/>
      <c r="J16" s="168"/>
    </row>
    <row r="17" spans="1:10" ht="18" customHeight="1" x14ac:dyDescent="0.25">
      <c r="A17" s="169"/>
      <c r="B17" s="170"/>
      <c r="C17" s="170"/>
      <c r="D17" s="170"/>
      <c r="E17" s="170"/>
      <c r="F17" s="170"/>
      <c r="G17" s="170"/>
      <c r="H17" s="170"/>
      <c r="I17" s="170"/>
      <c r="J17" s="171"/>
    </row>
    <row r="18" spans="1:10" ht="18" customHeight="1" x14ac:dyDescent="0.25">
      <c r="A18" s="50" t="s">
        <v>42</v>
      </c>
      <c r="C18" s="51" t="s">
        <v>43</v>
      </c>
      <c r="H18" s="51" t="s">
        <v>44</v>
      </c>
    </row>
    <row r="19" spans="1:10" ht="18" customHeight="1" x14ac:dyDescent="0.25"/>
    <row r="20" spans="1:10" ht="18" customHeight="1" x14ac:dyDescent="0.25"/>
  </sheetData>
  <mergeCells count="8">
    <mergeCell ref="A7:A13"/>
    <mergeCell ref="B7:B10"/>
    <mergeCell ref="A16:J17"/>
    <mergeCell ref="A1:I1"/>
    <mergeCell ref="A2:J2"/>
    <mergeCell ref="B3:J3"/>
    <mergeCell ref="K5:M5"/>
    <mergeCell ref="E6:G6"/>
  </mergeCells>
  <phoneticPr fontId="22" type="noConversion"/>
  <conditionalFormatting sqref="J7:J13">
    <cfRule type="containsText" dxfId="1" priority="2" operator="containsText" text="NG">
      <formula>NOT(ISERROR(SEARCH("NG",J7)))</formula>
    </cfRule>
  </conditionalFormatting>
  <conditionalFormatting sqref="J12">
    <cfRule type="containsText" dxfId="0" priority="1" operator="containsText" text="未化驗">
      <formula>NOT(ISERROR(SEARCH("未化驗",J12)))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8"/>
  <sheetViews>
    <sheetView workbookViewId="0">
      <selection activeCell="C6" sqref="C6"/>
    </sheetView>
  </sheetViews>
  <sheetFormatPr defaultColWidth="9" defaultRowHeight="15.75" x14ac:dyDescent="0.25"/>
  <cols>
    <col min="1" max="1" width="15.625" style="2" customWidth="1"/>
    <col min="2" max="3" width="11.125" style="2" customWidth="1"/>
    <col min="4" max="16384" width="9" style="2"/>
  </cols>
  <sheetData>
    <row r="2" spans="1:12" s="1" customFormat="1" ht="19.5" x14ac:dyDescent="0.25">
      <c r="A2" s="3" t="s">
        <v>45</v>
      </c>
      <c r="B2" s="4"/>
      <c r="D2" s="3"/>
    </row>
    <row r="3" spans="1:12" x14ac:dyDescent="0.25">
      <c r="A3" s="5" t="s">
        <v>46</v>
      </c>
      <c r="B3" s="6">
        <v>0.95799999999999996</v>
      </c>
    </row>
    <row r="4" spans="1:12" ht="20.100000000000001" customHeight="1" x14ac:dyDescent="0.25">
      <c r="A4" s="5" t="s">
        <v>47</v>
      </c>
      <c r="B4" s="6">
        <v>0.995</v>
      </c>
      <c r="C4" s="7"/>
    </row>
    <row r="5" spans="1:12" ht="20.100000000000001" customHeight="1" x14ac:dyDescent="0.25">
      <c r="A5" s="5" t="s">
        <v>48</v>
      </c>
      <c r="B5" s="6">
        <v>1</v>
      </c>
      <c r="C5" s="7"/>
    </row>
    <row r="6" spans="1:12" ht="20.100000000000001" customHeight="1" x14ac:dyDescent="0.25">
      <c r="A6" s="8" t="s">
        <v>49</v>
      </c>
      <c r="B6" s="9">
        <v>1</v>
      </c>
      <c r="C6" s="7"/>
    </row>
    <row r="8" spans="1:12" x14ac:dyDescent="0.25">
      <c r="L8" s="10"/>
    </row>
  </sheetData>
  <phoneticPr fontId="1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 日分析表</vt:lpstr>
      <vt:lpstr>新線分析表</vt:lpstr>
      <vt:lpstr>小槽</vt:lpstr>
      <vt:lpstr>除鈀</vt:lpstr>
      <vt:lpstr>F值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P16022</dc:creator>
  <cp:lastModifiedBy>劉思妤</cp:lastModifiedBy>
  <cp:lastPrinted>2022-12-29T05:13:00Z</cp:lastPrinted>
  <dcterms:created xsi:type="dcterms:W3CDTF">2012-08-31T05:15:00Z</dcterms:created>
  <dcterms:modified xsi:type="dcterms:W3CDTF">2026-04-24T01:40:41Z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