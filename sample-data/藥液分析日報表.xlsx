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L:\產線-品保部\03_QC\01_IQC.IPQC\藥水分析\IPQC-藥水分析記錄表\"/>
    </mc:Choice>
  </mc:AlternateContent>
  <xr:revisionPtr revIDLastSave="0" documentId="13_ncr:1_{44851332-B0E7-4D72-ACEE-71408092603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N" sheetId="16" r:id="rId1"/>
    <sheet name="N1 (開)" sheetId="32" r:id="rId2"/>
    <sheet name="N1 (收)" sheetId="34" r:id="rId3"/>
    <sheet name="N2 (開)" sheetId="22" r:id="rId4"/>
    <sheet name="N2 (收)" sheetId="30" r:id="rId5"/>
    <sheet name="C1" sheetId="20" r:id="rId6"/>
    <sheet name="C3" sheetId="19" r:id="rId7"/>
    <sheet name="C5" sheetId="21" r:id="rId8"/>
    <sheet name="DP" sheetId="14" r:id="rId9"/>
    <sheet name="舊線" sheetId="10" r:id="rId10"/>
    <sheet name="新線" sheetId="11" r:id="rId11"/>
    <sheet name="F" sheetId="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11" l="1"/>
  <c r="O29" i="11" s="1"/>
  <c r="N28" i="11"/>
  <c r="O28" i="11" s="1"/>
  <c r="P19" i="32"/>
  <c r="P18" i="32"/>
  <c r="P19" i="34"/>
  <c r="P18" i="34"/>
  <c r="P19" i="22"/>
  <c r="P18" i="22"/>
  <c r="P19" i="30"/>
  <c r="P18" i="30"/>
  <c r="I29" i="11"/>
  <c r="J29" i="11" s="1"/>
  <c r="J26" i="11"/>
  <c r="J27" i="11"/>
  <c r="J28" i="11"/>
  <c r="J30" i="11"/>
  <c r="I28" i="11"/>
  <c r="J19" i="22"/>
  <c r="J18" i="22"/>
  <c r="J19" i="30"/>
  <c r="J18" i="30"/>
  <c r="J19" i="34"/>
  <c r="J18" i="34"/>
  <c r="J19" i="32"/>
  <c r="J18" i="32"/>
  <c r="L12" i="14"/>
  <c r="L10" i="14"/>
  <c r="L9" i="11"/>
  <c r="L25" i="10"/>
  <c r="L22" i="10"/>
  <c r="L10" i="10"/>
  <c r="L7" i="10"/>
  <c r="L14" i="19"/>
  <c r="L8" i="19"/>
  <c r="I16" i="21" l="1"/>
  <c r="I15" i="19"/>
  <c r="N31" i="11"/>
  <c r="O31" i="11" s="1"/>
  <c r="N26" i="11"/>
  <c r="N23" i="10"/>
  <c r="N16" i="21"/>
  <c r="N15" i="19"/>
  <c r="I31" i="11"/>
  <c r="J31" i="11" s="1"/>
  <c r="N10" i="10"/>
  <c r="N10" i="11"/>
  <c r="I10" i="11"/>
  <c r="L10" i="11" s="1"/>
  <c r="I26" i="11"/>
  <c r="I23" i="10"/>
  <c r="I10" i="10"/>
  <c r="K31" i="11" l="1"/>
  <c r="O16" i="21"/>
  <c r="K16" i="21"/>
  <c r="O15" i="19"/>
  <c r="J15" i="19"/>
  <c r="N25" i="10"/>
  <c r="J16" i="21" l="1"/>
  <c r="K15" i="19"/>
  <c r="I17" i="21"/>
  <c r="I16" i="19"/>
  <c r="I32" i="11"/>
  <c r="N32" i="11"/>
  <c r="N22" i="10"/>
  <c r="N24" i="10"/>
  <c r="N33" i="11"/>
  <c r="I33" i="11"/>
  <c r="N27" i="11"/>
  <c r="N25" i="11"/>
  <c r="I27" i="11"/>
  <c r="I25" i="11"/>
  <c r="I22" i="10"/>
  <c r="I24" i="10"/>
  <c r="I25" i="10"/>
  <c r="Q20" i="34" l="1"/>
  <c r="M20" i="34"/>
  <c r="L20" i="34"/>
  <c r="K20" i="34"/>
  <c r="Q19" i="34"/>
  <c r="L19" i="34"/>
  <c r="Q18" i="34"/>
  <c r="M18" i="34"/>
  <c r="L18" i="34"/>
  <c r="K18" i="34"/>
  <c r="P17" i="34"/>
  <c r="Q17" i="34" s="1"/>
  <c r="M17" i="34"/>
  <c r="L17" i="34"/>
  <c r="K17" i="34"/>
  <c r="J17" i="34"/>
  <c r="Q16" i="34"/>
  <c r="P16" i="34"/>
  <c r="J16" i="34"/>
  <c r="K16" i="34" s="1"/>
  <c r="Q15" i="34"/>
  <c r="P15" i="34"/>
  <c r="M15" i="34"/>
  <c r="J15" i="34"/>
  <c r="L15" i="34" s="1"/>
  <c r="P14" i="34"/>
  <c r="Q14" i="34" s="1"/>
  <c r="M14" i="34"/>
  <c r="L14" i="34"/>
  <c r="K14" i="34"/>
  <c r="J14" i="34"/>
  <c r="P13" i="34"/>
  <c r="Q13" i="34" s="1"/>
  <c r="M13" i="34"/>
  <c r="L13" i="34"/>
  <c r="K13" i="34"/>
  <c r="J13" i="34"/>
  <c r="Q12" i="34"/>
  <c r="P12" i="34"/>
  <c r="J12" i="34"/>
  <c r="M12" i="34" s="1"/>
  <c r="Q11" i="34"/>
  <c r="L11" i="34"/>
  <c r="K11" i="34"/>
  <c r="Q10" i="34"/>
  <c r="P10" i="34"/>
  <c r="L10" i="34"/>
  <c r="K10" i="34"/>
  <c r="J10" i="34"/>
  <c r="M10" i="34" s="1"/>
  <c r="Q9" i="34"/>
  <c r="L9" i="34"/>
  <c r="K9" i="34"/>
  <c r="Q8" i="34"/>
  <c r="L8" i="34"/>
  <c r="K8" i="34"/>
  <c r="Q7" i="34"/>
  <c r="P7" i="34"/>
  <c r="M7" i="34"/>
  <c r="L7" i="34"/>
  <c r="K7" i="34"/>
  <c r="J7" i="34"/>
  <c r="N24" i="11"/>
  <c r="O24" i="11" s="1"/>
  <c r="N23" i="11"/>
  <c r="N22" i="11"/>
  <c r="N21" i="11"/>
  <c r="O21" i="11" s="1"/>
  <c r="N20" i="11"/>
  <c r="N19" i="11"/>
  <c r="O19" i="11" s="1"/>
  <c r="N7" i="11"/>
  <c r="O7" i="11" s="1"/>
  <c r="N19" i="10"/>
  <c r="N7" i="10"/>
  <c r="N12" i="14"/>
  <c r="N8" i="21"/>
  <c r="O8" i="21" s="1"/>
  <c r="N8" i="19"/>
  <c r="O8" i="19" s="1"/>
  <c r="Q20" i="32"/>
  <c r="M20" i="32"/>
  <c r="L20" i="32"/>
  <c r="K20" i="32"/>
  <c r="Q19" i="32"/>
  <c r="L19" i="32"/>
  <c r="Q18" i="32"/>
  <c r="M18" i="32"/>
  <c r="P17" i="32"/>
  <c r="Q17" i="32" s="1"/>
  <c r="M17" i="32"/>
  <c r="L17" i="32"/>
  <c r="K17" i="32"/>
  <c r="J17" i="32"/>
  <c r="P16" i="32"/>
  <c r="Q16" i="32" s="1"/>
  <c r="J16" i="32"/>
  <c r="K16" i="32" s="1"/>
  <c r="Q15" i="32"/>
  <c r="P15" i="32"/>
  <c r="J15" i="32"/>
  <c r="L15" i="32" s="1"/>
  <c r="P14" i="32"/>
  <c r="Q14" i="32" s="1"/>
  <c r="M14" i="32"/>
  <c r="J14" i="32"/>
  <c r="L14" i="32" s="1"/>
  <c r="P13" i="32"/>
  <c r="Q13" i="32" s="1"/>
  <c r="M13" i="32"/>
  <c r="L13" i="32"/>
  <c r="K13" i="32"/>
  <c r="J13" i="32"/>
  <c r="P12" i="32"/>
  <c r="Q12" i="32" s="1"/>
  <c r="J12" i="32"/>
  <c r="K12" i="32" s="1"/>
  <c r="Q11" i="32"/>
  <c r="L11" i="32"/>
  <c r="K11" i="32"/>
  <c r="P10" i="32"/>
  <c r="Q10" i="32" s="1"/>
  <c r="J10" i="32"/>
  <c r="L10" i="32" s="1"/>
  <c r="Q9" i="32"/>
  <c r="L9" i="32"/>
  <c r="K9" i="32"/>
  <c r="Q8" i="32"/>
  <c r="L8" i="32"/>
  <c r="K8" i="32"/>
  <c r="P7" i="32"/>
  <c r="Q7" i="32" s="1"/>
  <c r="J7" i="32"/>
  <c r="M7" i="32" s="1"/>
  <c r="I22" i="11"/>
  <c r="L22" i="11" s="1"/>
  <c r="I7" i="11"/>
  <c r="L7" i="11" s="1"/>
  <c r="I7" i="10"/>
  <c r="I19" i="10"/>
  <c r="I12" i="14"/>
  <c r="I8" i="21"/>
  <c r="I8" i="19"/>
  <c r="I24" i="11"/>
  <c r="I23" i="11"/>
  <c r="I21" i="11"/>
  <c r="L21" i="11" s="1"/>
  <c r="I20" i="11"/>
  <c r="L20" i="11" s="1"/>
  <c r="I19" i="11"/>
  <c r="I13" i="20"/>
  <c r="I8" i="20"/>
  <c r="L8" i="20" s="1"/>
  <c r="L20" i="10"/>
  <c r="L18" i="10"/>
  <c r="L17" i="10"/>
  <c r="K26" i="10"/>
  <c r="K16" i="11"/>
  <c r="K14" i="11"/>
  <c r="L18" i="11"/>
  <c r="K18" i="11"/>
  <c r="L16" i="10"/>
  <c r="J18" i="11"/>
  <c r="O16" i="11"/>
  <c r="O18" i="11"/>
  <c r="N17" i="11"/>
  <c r="O17" i="11" s="1"/>
  <c r="I17" i="11"/>
  <c r="L9" i="10"/>
  <c r="I8" i="14"/>
  <c r="L8" i="14" s="1"/>
  <c r="L14" i="20"/>
  <c r="L13" i="20"/>
  <c r="L12" i="20"/>
  <c r="L9" i="20"/>
  <c r="L17" i="21"/>
  <c r="L16" i="19"/>
  <c r="L13" i="19"/>
  <c r="L12" i="19"/>
  <c r="Q20" i="30"/>
  <c r="M20" i="30"/>
  <c r="L20" i="30"/>
  <c r="K20" i="30"/>
  <c r="Q19" i="30"/>
  <c r="Q18" i="30"/>
  <c r="P17" i="30"/>
  <c r="Q17" i="30" s="1"/>
  <c r="J17" i="30"/>
  <c r="P16" i="30"/>
  <c r="Q16" i="30" s="1"/>
  <c r="J16" i="30"/>
  <c r="P15" i="30"/>
  <c r="Q15" i="30" s="1"/>
  <c r="J15" i="30"/>
  <c r="P14" i="30"/>
  <c r="Q14" i="30" s="1"/>
  <c r="J14" i="30"/>
  <c r="P13" i="30"/>
  <c r="Q13" i="30" s="1"/>
  <c r="J13" i="30"/>
  <c r="P12" i="30"/>
  <c r="Q12" i="30" s="1"/>
  <c r="J12" i="30"/>
  <c r="Q11" i="30"/>
  <c r="L11" i="30"/>
  <c r="K11" i="30"/>
  <c r="P10" i="30"/>
  <c r="Q10" i="30" s="1"/>
  <c r="J10" i="30"/>
  <c r="Q9" i="30"/>
  <c r="L9" i="30"/>
  <c r="K9" i="30"/>
  <c r="Q8" i="30"/>
  <c r="L8" i="30"/>
  <c r="K8" i="30"/>
  <c r="P7" i="30"/>
  <c r="Q7" i="30" s="1"/>
  <c r="J7" i="30"/>
  <c r="M18" i="22"/>
  <c r="M17" i="22"/>
  <c r="N13" i="20"/>
  <c r="O13" i="20" s="1"/>
  <c r="N8" i="20"/>
  <c r="O8" i="20" s="1"/>
  <c r="M20" i="22"/>
  <c r="P17" i="22"/>
  <c r="Q17" i="22" s="1"/>
  <c r="J13" i="20"/>
  <c r="J17" i="22"/>
  <c r="K17" i="22" s="1"/>
  <c r="J9" i="11"/>
  <c r="J12" i="11"/>
  <c r="J14" i="11"/>
  <c r="J16" i="11"/>
  <c r="J9" i="10"/>
  <c r="J12" i="10"/>
  <c r="J14" i="10"/>
  <c r="J16" i="10"/>
  <c r="J26" i="10"/>
  <c r="J10" i="14"/>
  <c r="J13" i="14"/>
  <c r="J12" i="21"/>
  <c r="J13" i="21"/>
  <c r="J14" i="21"/>
  <c r="O9" i="11"/>
  <c r="O12" i="11"/>
  <c r="O14" i="11"/>
  <c r="O9" i="10"/>
  <c r="O12" i="10"/>
  <c r="O14" i="10"/>
  <c r="O16" i="10"/>
  <c r="O26" i="10"/>
  <c r="O10" i="14"/>
  <c r="O13" i="14"/>
  <c r="O12" i="21"/>
  <c r="O13" i="21"/>
  <c r="O14" i="21"/>
  <c r="O12" i="19"/>
  <c r="O13" i="19"/>
  <c r="J12" i="19"/>
  <c r="J13" i="19"/>
  <c r="O9" i="20"/>
  <c r="O10" i="20"/>
  <c r="O11" i="20"/>
  <c r="O14" i="20"/>
  <c r="O15" i="20"/>
  <c r="O16" i="20"/>
  <c r="J9" i="20"/>
  <c r="J10" i="20"/>
  <c r="J11" i="20"/>
  <c r="J14" i="20"/>
  <c r="J15" i="20"/>
  <c r="J16" i="20"/>
  <c r="K8" i="22"/>
  <c r="K9" i="22"/>
  <c r="K11" i="22"/>
  <c r="K18" i="22"/>
  <c r="K19" i="22"/>
  <c r="K20" i="22"/>
  <c r="Q11" i="22"/>
  <c r="Q18" i="22"/>
  <c r="Q19" i="22"/>
  <c r="Q20" i="22"/>
  <c r="Q8" i="22"/>
  <c r="Q9" i="22"/>
  <c r="L20" i="22"/>
  <c r="P16" i="22"/>
  <c r="Q16" i="22" s="1"/>
  <c r="J16" i="22"/>
  <c r="K16" i="22" s="1"/>
  <c r="P15" i="22"/>
  <c r="Q15" i="22" s="1"/>
  <c r="J15" i="22"/>
  <c r="M15" i="22" s="1"/>
  <c r="P14" i="22"/>
  <c r="Q14" i="22" s="1"/>
  <c r="J14" i="22"/>
  <c r="M14" i="22" s="1"/>
  <c r="P13" i="22"/>
  <c r="Q13" i="22" s="1"/>
  <c r="J13" i="22"/>
  <c r="M13" i="22" s="1"/>
  <c r="P12" i="22"/>
  <c r="Q12" i="22" s="1"/>
  <c r="J12" i="22"/>
  <c r="M12" i="22" s="1"/>
  <c r="L11" i="22"/>
  <c r="P10" i="22"/>
  <c r="Q10" i="22" s="1"/>
  <c r="J10" i="22"/>
  <c r="M10" i="22" s="1"/>
  <c r="L9" i="22"/>
  <c r="L8" i="22"/>
  <c r="P7" i="22"/>
  <c r="Q7" i="22" s="1"/>
  <c r="J7" i="22"/>
  <c r="M7" i="22" s="1"/>
  <c r="O33" i="11"/>
  <c r="O32" i="11"/>
  <c r="N30" i="11"/>
  <c r="O30" i="11" s="1"/>
  <c r="O27" i="11"/>
  <c r="O26" i="11"/>
  <c r="O25" i="11"/>
  <c r="O23" i="11"/>
  <c r="O22" i="11"/>
  <c r="O20" i="11"/>
  <c r="N15" i="11"/>
  <c r="O15" i="11" s="1"/>
  <c r="N13" i="11"/>
  <c r="O13" i="11" s="1"/>
  <c r="N11" i="11"/>
  <c r="O11" i="11" s="1"/>
  <c r="O10" i="11"/>
  <c r="N8" i="11"/>
  <c r="O8" i="11" s="1"/>
  <c r="L32" i="11"/>
  <c r="I30" i="11"/>
  <c r="L30" i="11" s="1"/>
  <c r="L24" i="11"/>
  <c r="L19" i="11"/>
  <c r="I15" i="11"/>
  <c r="I13" i="11"/>
  <c r="I8" i="11"/>
  <c r="L8" i="11" s="1"/>
  <c r="O25" i="10"/>
  <c r="O24" i="10"/>
  <c r="O23" i="10"/>
  <c r="O22" i="10"/>
  <c r="N21" i="10"/>
  <c r="O21" i="10" s="1"/>
  <c r="N20" i="10"/>
  <c r="O20" i="10" s="1"/>
  <c r="O19" i="10"/>
  <c r="N18" i="10"/>
  <c r="O18" i="10" s="1"/>
  <c r="N17" i="10"/>
  <c r="O17" i="10" s="1"/>
  <c r="N15" i="10"/>
  <c r="O15" i="10" s="1"/>
  <c r="N13" i="10"/>
  <c r="O13" i="10" s="1"/>
  <c r="N11" i="10"/>
  <c r="O11" i="10" s="1"/>
  <c r="O10" i="10"/>
  <c r="N8" i="10"/>
  <c r="O8" i="10" s="1"/>
  <c r="O7" i="10"/>
  <c r="L24" i="10"/>
  <c r="L23" i="10"/>
  <c r="I21" i="10"/>
  <c r="L21" i="10" s="1"/>
  <c r="I20" i="10"/>
  <c r="I18" i="10"/>
  <c r="I17" i="10"/>
  <c r="I15" i="10"/>
  <c r="I13" i="10"/>
  <c r="I8" i="10"/>
  <c r="L8" i="10" s="1"/>
  <c r="O12" i="14"/>
  <c r="N11" i="14"/>
  <c r="O11" i="14" s="1"/>
  <c r="N8" i="14"/>
  <c r="O8" i="14" s="1"/>
  <c r="N7" i="14"/>
  <c r="O7" i="14" s="1"/>
  <c r="I11" i="14"/>
  <c r="L11" i="14" s="1"/>
  <c r="N17" i="21"/>
  <c r="O17" i="21" s="1"/>
  <c r="N15" i="21"/>
  <c r="O15" i="21" s="1"/>
  <c r="N11" i="21"/>
  <c r="O11" i="21" s="1"/>
  <c r="N10" i="21"/>
  <c r="O10" i="21" s="1"/>
  <c r="N9" i="21"/>
  <c r="O9" i="21" s="1"/>
  <c r="N7" i="21"/>
  <c r="O7" i="21" s="1"/>
  <c r="J17" i="21"/>
  <c r="I15" i="21"/>
  <c r="I10" i="21"/>
  <c r="L10" i="21" s="1"/>
  <c r="I9" i="21"/>
  <c r="I7" i="21"/>
  <c r="N16" i="19"/>
  <c r="O16" i="19" s="1"/>
  <c r="N14" i="19"/>
  <c r="O14" i="19" s="1"/>
  <c r="N11" i="19"/>
  <c r="O11" i="19" s="1"/>
  <c r="N10" i="19"/>
  <c r="O10" i="19" s="1"/>
  <c r="N9" i="19"/>
  <c r="O9" i="19" s="1"/>
  <c r="N7" i="19"/>
  <c r="O7" i="19" s="1"/>
  <c r="J16" i="19"/>
  <c r="I14" i="19"/>
  <c r="I10" i="19"/>
  <c r="I9" i="19"/>
  <c r="L9" i="19" s="1"/>
  <c r="I7" i="19"/>
  <c r="N14" i="20"/>
  <c r="N12" i="20"/>
  <c r="O12" i="20" s="1"/>
  <c r="N9" i="20"/>
  <c r="N7" i="20"/>
  <c r="O7" i="20" s="1"/>
  <c r="I12" i="20"/>
  <c r="I7" i="20"/>
  <c r="L7" i="20" s="1"/>
  <c r="N10" i="16"/>
  <c r="O10" i="16" s="1"/>
  <c r="N9" i="16"/>
  <c r="O9" i="16" s="1"/>
  <c r="N8" i="16"/>
  <c r="O8" i="16" s="1"/>
  <c r="N7" i="16"/>
  <c r="O7" i="16" s="1"/>
  <c r="I10" i="16"/>
  <c r="L10" i="16" s="1"/>
  <c r="I9" i="16"/>
  <c r="J9" i="16" s="1"/>
  <c r="I8" i="16"/>
  <c r="L8" i="16" s="1"/>
  <c r="I7" i="16"/>
  <c r="J7" i="16" s="1"/>
  <c r="K13" i="14"/>
  <c r="L35" i="11"/>
  <c r="K35" i="11"/>
  <c r="L34" i="11"/>
  <c r="K34" i="11"/>
  <c r="K12" i="11"/>
  <c r="K9" i="11"/>
  <c r="K16" i="10"/>
  <c r="K14" i="10"/>
  <c r="K12" i="10"/>
  <c r="K9" i="10"/>
  <c r="K10" i="14"/>
  <c r="K16" i="20"/>
  <c r="K15" i="20"/>
  <c r="K11" i="20"/>
  <c r="K10" i="20"/>
  <c r="K12" i="34" l="1"/>
  <c r="L12" i="34"/>
  <c r="L16" i="34"/>
  <c r="K19" i="34"/>
  <c r="K15" i="34"/>
  <c r="L16" i="32"/>
  <c r="K19" i="32"/>
  <c r="M10" i="32"/>
  <c r="L12" i="32"/>
  <c r="M12" i="32"/>
  <c r="K15" i="32"/>
  <c r="K7" i="32"/>
  <c r="L7" i="32"/>
  <c r="K14" i="32"/>
  <c r="M15" i="32"/>
  <c r="L18" i="32"/>
  <c r="K10" i="32"/>
  <c r="K18" i="32"/>
  <c r="J8" i="19"/>
  <c r="K17" i="11"/>
  <c r="J17" i="11"/>
  <c r="L17" i="11"/>
  <c r="L23" i="11"/>
  <c r="K23" i="11"/>
  <c r="J32" i="11"/>
  <c r="J25" i="11"/>
  <c r="J15" i="11"/>
  <c r="L15" i="11"/>
  <c r="J13" i="11"/>
  <c r="L13" i="11"/>
  <c r="J10" i="11"/>
  <c r="J8" i="11"/>
  <c r="J7" i="11"/>
  <c r="J25" i="10"/>
  <c r="J24" i="10"/>
  <c r="J23" i="10"/>
  <c r="J22" i="10"/>
  <c r="J21" i="10"/>
  <c r="J20" i="10"/>
  <c r="J19" i="10"/>
  <c r="L19" i="10"/>
  <c r="J18" i="10"/>
  <c r="J17" i="10"/>
  <c r="J15" i="10"/>
  <c r="L15" i="10"/>
  <c r="J13" i="10"/>
  <c r="L13" i="10"/>
  <c r="J8" i="10"/>
  <c r="J12" i="14"/>
  <c r="J15" i="21"/>
  <c r="L15" i="21"/>
  <c r="J9" i="21"/>
  <c r="L9" i="21"/>
  <c r="J8" i="21"/>
  <c r="L8" i="21"/>
  <c r="J7" i="21"/>
  <c r="L7" i="21"/>
  <c r="J10" i="19"/>
  <c r="L10" i="19"/>
  <c r="J9" i="19"/>
  <c r="J33" i="11"/>
  <c r="L33" i="11"/>
  <c r="J7" i="10"/>
  <c r="J10" i="21"/>
  <c r="J14" i="19"/>
  <c r="J7" i="19"/>
  <c r="L7" i="19"/>
  <c r="J12" i="20"/>
  <c r="J7" i="20"/>
  <c r="L19" i="30"/>
  <c r="K19" i="30"/>
  <c r="M18" i="30"/>
  <c r="L18" i="30"/>
  <c r="K18" i="30"/>
  <c r="L17" i="30"/>
  <c r="M17" i="30"/>
  <c r="K17" i="30"/>
  <c r="L16" i="30"/>
  <c r="K16" i="30"/>
  <c r="M15" i="30"/>
  <c r="K15" i="30"/>
  <c r="L15" i="30"/>
  <c r="M14" i="30"/>
  <c r="L14" i="30"/>
  <c r="K14" i="30"/>
  <c r="K13" i="30"/>
  <c r="M13" i="30"/>
  <c r="L13" i="30"/>
  <c r="L12" i="30"/>
  <c r="M12" i="30"/>
  <c r="K12" i="30"/>
  <c r="M10" i="30"/>
  <c r="K10" i="30"/>
  <c r="L10" i="30"/>
  <c r="M7" i="30"/>
  <c r="K7" i="30"/>
  <c r="L7" i="30"/>
  <c r="J23" i="11"/>
  <c r="J19" i="11"/>
  <c r="J11" i="14"/>
  <c r="K24" i="11"/>
  <c r="J24" i="11"/>
  <c r="K22" i="11"/>
  <c r="J22" i="11"/>
  <c r="K21" i="11"/>
  <c r="J21" i="11"/>
  <c r="K20" i="11"/>
  <c r="J20" i="11"/>
  <c r="J10" i="10"/>
  <c r="J10" i="16"/>
  <c r="K15" i="22"/>
  <c r="K14" i="22"/>
  <c r="K13" i="22"/>
  <c r="K10" i="22"/>
  <c r="K7" i="22"/>
  <c r="J8" i="20"/>
  <c r="J8" i="16"/>
  <c r="K12" i="22"/>
  <c r="L17" i="22"/>
  <c r="L19" i="22"/>
  <c r="L18" i="22"/>
  <c r="L16" i="22"/>
  <c r="L15" i="22"/>
  <c r="L14" i="22"/>
  <c r="L13" i="22"/>
  <c r="L12" i="22"/>
  <c r="L10" i="22"/>
  <c r="L7" i="22"/>
  <c r="K13" i="20"/>
  <c r="K12" i="20"/>
  <c r="K7" i="20"/>
  <c r="K21" i="10" l="1"/>
  <c r="K20" i="10"/>
  <c r="K18" i="10"/>
  <c r="K12" i="14" l="1"/>
  <c r="K11" i="14"/>
  <c r="I14" i="20" l="1"/>
  <c r="K14" i="20" l="1"/>
  <c r="L9" i="16" l="1"/>
  <c r="L7" i="16"/>
  <c r="I11" i="11"/>
  <c r="I7" i="14"/>
  <c r="L7" i="14" s="1"/>
  <c r="K14" i="21"/>
  <c r="L14" i="21" s="1"/>
  <c r="K13" i="21"/>
  <c r="L13" i="21" s="1"/>
  <c r="K12" i="21"/>
  <c r="L12" i="21" s="1"/>
  <c r="I11" i="21"/>
  <c r="K13" i="19"/>
  <c r="K12" i="19"/>
  <c r="I11" i="19"/>
  <c r="L11" i="19" s="1"/>
  <c r="K10" i="19"/>
  <c r="K8" i="19"/>
  <c r="I9" i="20"/>
  <c r="I11" i="10"/>
  <c r="L11" i="21" l="1"/>
  <c r="J11" i="21"/>
  <c r="J8" i="14"/>
  <c r="J7" i="14"/>
  <c r="K11" i="11"/>
  <c r="J11" i="11"/>
  <c r="K11" i="10"/>
  <c r="J11" i="10"/>
  <c r="J11" i="19"/>
  <c r="K19" i="10"/>
  <c r="K17" i="10"/>
  <c r="K33" i="11"/>
  <c r="K32" i="11"/>
  <c r="K30" i="11"/>
  <c r="K19" i="11"/>
  <c r="K15" i="11"/>
  <c r="K13" i="11"/>
  <c r="K10" i="11"/>
  <c r="K8" i="11"/>
  <c r="K7" i="11"/>
  <c r="K25" i="10"/>
  <c r="K24" i="10"/>
  <c r="K23" i="10"/>
  <c r="K22" i="10"/>
  <c r="K15" i="10"/>
  <c r="K13" i="10"/>
  <c r="K10" i="10"/>
  <c r="K7" i="10"/>
  <c r="K8" i="14"/>
  <c r="K7" i="14"/>
  <c r="K9" i="20"/>
  <c r="K8" i="20"/>
  <c r="K9" i="16"/>
  <c r="K7" i="16"/>
  <c r="K10" i="16"/>
  <c r="K8" i="16"/>
  <c r="K8" i="10"/>
  <c r="K11" i="21"/>
  <c r="K11" i="19"/>
  <c r="K10" i="21"/>
  <c r="K9" i="19"/>
  <c r="K8" i="21"/>
  <c r="K9" i="21"/>
  <c r="K7" i="19"/>
  <c r="K7" i="21"/>
  <c r="K14" i="19"/>
  <c r="K15" i="21"/>
  <c r="K16" i="19"/>
  <c r="K17" i="21"/>
</calcChain>
</file>

<file path=xl/sharedStrings.xml><?xml version="1.0" encoding="utf-8"?>
<sst xmlns="http://schemas.openxmlformats.org/spreadsheetml/2006/main" count="1150" uniqueCount="253">
  <si>
    <t>藥液分析日報表</t>
  </si>
  <si>
    <t>線別</t>
  </si>
  <si>
    <t>日期</t>
  </si>
  <si>
    <t>分析者</t>
  </si>
  <si>
    <t>槽位</t>
  </si>
  <si>
    <t>分析項目</t>
  </si>
  <si>
    <t>規格</t>
  </si>
  <si>
    <t>範圍</t>
  </si>
  <si>
    <t>滴定數(ml)</t>
  </si>
  <si>
    <t>濃度</t>
  </si>
  <si>
    <t>判定</t>
  </si>
  <si>
    <t>調整</t>
  </si>
  <si>
    <t>藥液</t>
  </si>
  <si>
    <t>調整量</t>
  </si>
  <si>
    <t>槽容(L)</t>
  </si>
  <si>
    <t>添加管制值</t>
  </si>
  <si>
    <t>45±15</t>
  </si>
  <si>
    <t>~</t>
  </si>
  <si>
    <t>40±10</t>
  </si>
  <si>
    <t>備註:</t>
  </si>
  <si>
    <t xml:space="preserve"> </t>
  </si>
  <si>
    <t>QA-2-010-02A</t>
  </si>
  <si>
    <r>
      <rPr>
        <sz val="22"/>
        <rFont val="標楷體"/>
        <family val="4"/>
        <charset val="136"/>
      </rPr>
      <t>核准</t>
    </r>
    <r>
      <rPr>
        <sz val="22"/>
        <rFont val="新細明體"/>
        <family val="1"/>
        <charset val="136"/>
      </rPr>
      <t>：</t>
    </r>
  </si>
  <si>
    <t>確認：</t>
  </si>
  <si>
    <t>20±2</t>
  </si>
  <si>
    <t>8±1</t>
  </si>
  <si>
    <t>PH</t>
  </si>
  <si>
    <t>13.3±0.5</t>
  </si>
  <si>
    <t>-</t>
  </si>
  <si>
    <t>P200 (ml/L)</t>
  </si>
  <si>
    <t>150±15</t>
  </si>
  <si>
    <t>促進</t>
  </si>
  <si>
    <t>P500A (ml/L)</t>
  </si>
  <si>
    <t>100±10</t>
  </si>
  <si>
    <t>&lt; 0.3</t>
  </si>
  <si>
    <t>4.8±0.2</t>
  </si>
  <si>
    <t>18.5±1.5</t>
  </si>
  <si>
    <t>&lt; 100</t>
  </si>
  <si>
    <t>8.5±0.2</t>
  </si>
  <si>
    <t>調節</t>
  </si>
  <si>
    <t>9.5~11</t>
  </si>
  <si>
    <t>預浸</t>
  </si>
  <si>
    <t>P300 (g/L)</t>
  </si>
  <si>
    <t>260±20</t>
  </si>
  <si>
    <t>催化</t>
  </si>
  <si>
    <t>P400 (ml/L)</t>
  </si>
  <si>
    <t>&gt; 30</t>
  </si>
  <si>
    <t>15±10</t>
  </si>
  <si>
    <t>化鎳</t>
  </si>
  <si>
    <t>185±20</t>
  </si>
  <si>
    <t>55±10</t>
  </si>
  <si>
    <t>S RF-A (ml/L)</t>
  </si>
  <si>
    <t>15±5</t>
  </si>
  <si>
    <t>S RF-B (ml/L)</t>
  </si>
  <si>
    <t>1±0.5</t>
  </si>
  <si>
    <t>150±20</t>
  </si>
  <si>
    <t>120±10</t>
  </si>
  <si>
    <t>槽容</t>
  </si>
  <si>
    <t>稀釋管制值</t>
  </si>
  <si>
    <t>20±5</t>
  </si>
  <si>
    <t>硫酸</t>
  </si>
  <si>
    <t>180±20</t>
  </si>
  <si>
    <t>100±15</t>
  </si>
  <si>
    <t>氧化銅粉</t>
  </si>
  <si>
    <t>50±10</t>
  </si>
  <si>
    <t>鹽酸</t>
  </si>
  <si>
    <t>10±2</t>
  </si>
  <si>
    <t>51SF</t>
  </si>
  <si>
    <t>STB</t>
  </si>
  <si>
    <t>1±0.3</t>
  </si>
  <si>
    <t>150±50</t>
  </si>
  <si>
    <t>雙氧水</t>
  </si>
  <si>
    <t>140±20</t>
  </si>
  <si>
    <t>NA</t>
  </si>
  <si>
    <t>100±20</t>
  </si>
  <si>
    <t>DP333</t>
  </si>
  <si>
    <t>5±1</t>
  </si>
  <si>
    <t>30±5</t>
  </si>
  <si>
    <t>GAP-1</t>
  </si>
  <si>
    <t>4±2</t>
  </si>
  <si>
    <t>GAP-2</t>
  </si>
  <si>
    <t>3±1</t>
  </si>
  <si>
    <t>GAP-3</t>
  </si>
  <si>
    <t>12±3</t>
  </si>
  <si>
    <t>275±125</t>
  </si>
  <si>
    <t>0.55±0.25</t>
  </si>
  <si>
    <t>10±0.2</t>
  </si>
  <si>
    <t>&gt; 5</t>
  </si>
  <si>
    <t>&lt; 42</t>
  </si>
  <si>
    <t>1.1±0.05</t>
  </si>
  <si>
    <t xml:space="preserve">&lt; 300 </t>
  </si>
  <si>
    <t xml:space="preserve">PH </t>
  </si>
  <si>
    <t>1±0.2</t>
  </si>
  <si>
    <t>&gt; 10.7</t>
  </si>
  <si>
    <t>12±2</t>
  </si>
  <si>
    <t>22.5±12.5</t>
  </si>
  <si>
    <t>6±1.5</t>
  </si>
  <si>
    <t>15±2</t>
  </si>
  <si>
    <t>4±1</t>
  </si>
  <si>
    <t>1.5±1</t>
  </si>
  <si>
    <t>0.4N HCl</t>
  </si>
  <si>
    <t>0.05N EDTA</t>
  </si>
  <si>
    <t>0.1N  KMnO4</t>
  </si>
  <si>
    <t>0.2N HCl</t>
  </si>
  <si>
    <t>NA</t>
    <phoneticPr fontId="17" type="noConversion"/>
  </si>
  <si>
    <t>稀釋管制值</t>
    <phoneticPr fontId="17" type="noConversion"/>
  </si>
  <si>
    <t/>
  </si>
  <si>
    <t>KOH</t>
  </si>
  <si>
    <t>P400</t>
  </si>
  <si>
    <t>安定劑</t>
  </si>
  <si>
    <t>B劑</t>
  </si>
  <si>
    <t>氨水</t>
  </si>
  <si>
    <t>P200</t>
    <phoneticPr fontId="17" type="noConversion"/>
  </si>
  <si>
    <t>A劑</t>
    <phoneticPr fontId="17" type="noConversion"/>
  </si>
  <si>
    <t>UT4100-M
UT4100-RC</t>
    <phoneticPr fontId="17" type="noConversion"/>
  </si>
  <si>
    <t>硫酸50%</t>
    <phoneticPr fontId="17" type="noConversion"/>
  </si>
  <si>
    <t>GS</t>
    <phoneticPr fontId="17" type="noConversion"/>
  </si>
  <si>
    <t>SPS</t>
    <phoneticPr fontId="17" type="noConversion"/>
  </si>
  <si>
    <t>氧化銅粉</t>
    <phoneticPr fontId="17" type="noConversion"/>
  </si>
  <si>
    <t>鹽酸38%</t>
    <phoneticPr fontId="17" type="noConversion"/>
  </si>
  <si>
    <t>S RF-A</t>
    <phoneticPr fontId="17" type="noConversion"/>
  </si>
  <si>
    <t>S RF-B</t>
    <phoneticPr fontId="17" type="noConversion"/>
  </si>
  <si>
    <t>CS-3202M
CS-3202R</t>
    <phoneticPr fontId="17" type="noConversion"/>
  </si>
  <si>
    <t>HCL</t>
    <phoneticPr fontId="17" type="noConversion"/>
  </si>
  <si>
    <t>GC</t>
    <phoneticPr fontId="17" type="noConversion"/>
  </si>
  <si>
    <t>CuSO4．5H2O</t>
    <phoneticPr fontId="17" type="noConversion"/>
  </si>
  <si>
    <t>硝酸</t>
    <phoneticPr fontId="17" type="noConversion"/>
  </si>
  <si>
    <t>H2O2</t>
    <phoneticPr fontId="17" type="noConversion"/>
  </si>
  <si>
    <t>P500A</t>
    <phoneticPr fontId="17" type="noConversion"/>
  </si>
  <si>
    <t>P500B</t>
    <phoneticPr fontId="17" type="noConversion"/>
  </si>
  <si>
    <t>P300</t>
    <phoneticPr fontId="17" type="noConversion"/>
  </si>
  <si>
    <t>D劑</t>
    <phoneticPr fontId="17" type="noConversion"/>
  </si>
  <si>
    <t>OPC
PARRADELETE</t>
    <phoneticPr fontId="17" type="noConversion"/>
  </si>
  <si>
    <t>NaOH</t>
    <phoneticPr fontId="17" type="noConversion"/>
  </si>
  <si>
    <t>OPC
PARRARINSE</t>
    <phoneticPr fontId="17" type="noConversion"/>
  </si>
  <si>
    <t>CXW-PS318(A/B)</t>
    <phoneticPr fontId="17" type="noConversion"/>
  </si>
  <si>
    <t>硫酸(50%)</t>
    <phoneticPr fontId="17" type="noConversion"/>
  </si>
  <si>
    <t>鹽酸(38%)</t>
    <phoneticPr fontId="17" type="noConversion"/>
  </si>
  <si>
    <t>碳酸鈉(15%)</t>
    <phoneticPr fontId="17" type="noConversion"/>
  </si>
  <si>
    <t>鹽酸(32%)</t>
    <phoneticPr fontId="17" type="noConversion"/>
  </si>
  <si>
    <t>複驗</t>
    <phoneticPr fontId="17" type="noConversion"/>
  </si>
  <si>
    <t>調整</t>
    <phoneticPr fontId="17" type="noConversion"/>
  </si>
  <si>
    <t>1N NaOH</t>
    <phoneticPr fontId="17" type="noConversion"/>
  </si>
  <si>
    <r>
      <t>0.1N H</t>
    </r>
    <r>
      <rPr>
        <vertAlign val="subscript"/>
        <sz val="12"/>
        <rFont val="Calibri"/>
        <family val="2"/>
      </rPr>
      <t>2</t>
    </r>
    <r>
      <rPr>
        <sz val="12"/>
        <rFont val="Calibri"/>
        <family val="2"/>
      </rPr>
      <t>SO</t>
    </r>
    <r>
      <rPr>
        <vertAlign val="subscript"/>
        <sz val="12"/>
        <rFont val="Calibri"/>
        <family val="2"/>
      </rPr>
      <t>4</t>
    </r>
  </si>
  <si>
    <r>
      <t>0.1N I</t>
    </r>
    <r>
      <rPr>
        <vertAlign val="subscript"/>
        <sz val="12"/>
        <rFont val="Calibri"/>
        <family val="2"/>
      </rPr>
      <t>2</t>
    </r>
  </si>
  <si>
    <t>標準液</t>
    <phoneticPr fontId="17" type="noConversion"/>
  </si>
  <si>
    <r>
      <t>F</t>
    </r>
    <r>
      <rPr>
        <sz val="12"/>
        <rFont val="微軟正黑體"/>
        <family val="2"/>
        <charset val="136"/>
      </rPr>
      <t>值</t>
    </r>
    <phoneticPr fontId="17" type="noConversion"/>
  </si>
  <si>
    <t>CN</t>
    <phoneticPr fontId="17" type="noConversion"/>
  </si>
  <si>
    <t>N2</t>
    <phoneticPr fontId="17" type="noConversion"/>
  </si>
  <si>
    <t>C1</t>
    <phoneticPr fontId="17" type="noConversion"/>
  </si>
  <si>
    <t>C3</t>
    <phoneticPr fontId="17" type="noConversion"/>
  </si>
  <si>
    <t>C5</t>
    <phoneticPr fontId="17" type="noConversion"/>
  </si>
  <si>
    <t>DP</t>
    <phoneticPr fontId="17" type="noConversion"/>
  </si>
  <si>
    <t>舊線</t>
    <phoneticPr fontId="17" type="noConversion"/>
  </si>
  <si>
    <t>新線</t>
    <phoneticPr fontId="17" type="noConversion"/>
  </si>
  <si>
    <r>
      <t>0.1ml Na</t>
    </r>
    <r>
      <rPr>
        <vertAlign val="subscript"/>
        <sz val="12"/>
        <rFont val="Calibri"/>
        <family val="2"/>
      </rPr>
      <t>2</t>
    </r>
    <r>
      <rPr>
        <sz val="12"/>
        <rFont val="Calibri"/>
        <family val="2"/>
      </rPr>
      <t>S</t>
    </r>
    <r>
      <rPr>
        <vertAlign val="subscript"/>
        <sz val="12"/>
        <rFont val="Calibri"/>
        <family val="2"/>
      </rPr>
      <t>2</t>
    </r>
    <r>
      <rPr>
        <sz val="12"/>
        <rFont val="Calibri"/>
        <family val="2"/>
      </rPr>
      <t>O</t>
    </r>
    <r>
      <rPr>
        <vertAlign val="subscript"/>
        <sz val="12"/>
        <rFont val="Calibri"/>
        <family val="2"/>
      </rPr>
      <t>3</t>
    </r>
    <phoneticPr fontId="17" type="noConversion"/>
  </si>
  <si>
    <t>~</t>
    <phoneticPr fontId="17" type="noConversion"/>
  </si>
  <si>
    <t xml:space="preserve">&lt; 5 </t>
    <phoneticPr fontId="17" type="noConversion"/>
  </si>
  <si>
    <t>工程變更</t>
  </si>
  <si>
    <t>ECR編號</t>
  </si>
  <si>
    <t>申請日期</t>
  </si>
  <si>
    <t>截止日期</t>
  </si>
  <si>
    <t>曝氣</t>
    <phoneticPr fontId="17" type="noConversion"/>
  </si>
  <si>
    <t>-</t>
    <phoneticPr fontId="17" type="noConversion"/>
  </si>
  <si>
    <t>N1</t>
    <phoneticPr fontId="17" type="noConversion"/>
  </si>
  <si>
    <r>
      <t xml:space="preserve">粗化線
</t>
    </r>
    <r>
      <rPr>
        <sz val="26"/>
        <rFont val="標楷體"/>
        <family val="4"/>
        <charset val="136"/>
      </rPr>
      <t>(PT2)</t>
    </r>
    <phoneticPr fontId="17" type="noConversion"/>
  </si>
  <si>
    <r>
      <t xml:space="preserve">顯影線
</t>
    </r>
    <r>
      <rPr>
        <sz val="26"/>
        <rFont val="標楷體"/>
        <family val="4"/>
        <charset val="136"/>
      </rPr>
      <t>(DV2)</t>
    </r>
    <phoneticPr fontId="17" type="noConversion"/>
  </si>
  <si>
    <r>
      <t xml:space="preserve">剝膜線
</t>
    </r>
    <r>
      <rPr>
        <sz val="26"/>
        <rFont val="標楷體"/>
        <family val="4"/>
        <charset val="136"/>
      </rPr>
      <t>(ST2)</t>
    </r>
    <phoneticPr fontId="17" type="noConversion"/>
  </si>
  <si>
    <r>
      <t xml:space="preserve">快蝕線
</t>
    </r>
    <r>
      <rPr>
        <sz val="26"/>
        <rFont val="標楷體"/>
        <family val="4"/>
        <charset val="136"/>
      </rPr>
      <t>(QE2)</t>
    </r>
    <phoneticPr fontId="17" type="noConversion"/>
  </si>
  <si>
    <r>
      <t xml:space="preserve">粗化線
</t>
    </r>
    <r>
      <rPr>
        <sz val="26"/>
        <rFont val="標楷體"/>
        <family val="4"/>
        <charset val="136"/>
      </rPr>
      <t>(PT)</t>
    </r>
    <phoneticPr fontId="17" type="noConversion"/>
  </si>
  <si>
    <r>
      <t xml:space="preserve">顯影線
</t>
    </r>
    <r>
      <rPr>
        <sz val="26"/>
        <rFont val="標楷體"/>
        <family val="4"/>
        <charset val="136"/>
      </rPr>
      <t>(DV)</t>
    </r>
    <phoneticPr fontId="17" type="noConversion"/>
  </si>
  <si>
    <r>
      <t xml:space="preserve">剝膜線
</t>
    </r>
    <r>
      <rPr>
        <sz val="26"/>
        <rFont val="標楷體"/>
        <family val="4"/>
        <charset val="136"/>
      </rPr>
      <t>(ST)</t>
    </r>
    <phoneticPr fontId="17" type="noConversion"/>
  </si>
  <si>
    <r>
      <t xml:space="preserve">快蝕線
</t>
    </r>
    <r>
      <rPr>
        <sz val="26"/>
        <rFont val="標楷體"/>
        <family val="4"/>
        <charset val="136"/>
      </rPr>
      <t>(QE)</t>
    </r>
    <phoneticPr fontId="17" type="noConversion"/>
  </si>
  <si>
    <r>
      <t xml:space="preserve">除鈀線
</t>
    </r>
    <r>
      <rPr>
        <sz val="26"/>
        <rFont val="標楷體"/>
        <family val="4"/>
        <charset val="136"/>
      </rPr>
      <t>(DP)</t>
    </r>
    <phoneticPr fontId="17" type="noConversion"/>
  </si>
  <si>
    <r>
      <t xml:space="preserve">鍍銅線
</t>
    </r>
    <r>
      <rPr>
        <sz val="26"/>
        <rFont val="標楷體"/>
        <family val="4"/>
        <charset val="136"/>
      </rPr>
      <t>(C3)</t>
    </r>
    <phoneticPr fontId="17" type="noConversion"/>
  </si>
  <si>
    <r>
      <t xml:space="preserve">鍍銅線
</t>
    </r>
    <r>
      <rPr>
        <sz val="26"/>
        <rFont val="標楷體"/>
        <family val="4"/>
        <charset val="136"/>
      </rPr>
      <t>(C5)</t>
    </r>
    <phoneticPr fontId="17" type="noConversion"/>
  </si>
  <si>
    <r>
      <t xml:space="preserve">鍍銅線
</t>
    </r>
    <r>
      <rPr>
        <sz val="26"/>
        <rFont val="標楷體"/>
        <family val="4"/>
        <charset val="136"/>
      </rPr>
      <t>(C1)</t>
    </r>
    <phoneticPr fontId="17" type="noConversion"/>
  </si>
  <si>
    <r>
      <t xml:space="preserve">化鎳線
</t>
    </r>
    <r>
      <rPr>
        <sz val="26"/>
        <rFont val="標楷體"/>
        <family val="4"/>
        <charset val="136"/>
      </rPr>
      <t>(N2)</t>
    </r>
    <phoneticPr fontId="17" type="noConversion"/>
  </si>
  <si>
    <r>
      <t xml:space="preserve">清洗線
</t>
    </r>
    <r>
      <rPr>
        <sz val="26"/>
        <rFont val="標楷體"/>
        <family val="4"/>
        <charset val="136"/>
      </rPr>
      <t>(CN)</t>
    </r>
    <phoneticPr fontId="17" type="noConversion"/>
  </si>
  <si>
    <t>&gt; 11.0</t>
    <phoneticPr fontId="17" type="noConversion"/>
  </si>
  <si>
    <t>&gt; 11</t>
    <phoneticPr fontId="17" type="noConversion"/>
  </si>
  <si>
    <t>SF (ml/L)</t>
    <phoneticPr fontId="17" type="noConversion"/>
  </si>
  <si>
    <t>STB (ml/L)</t>
    <phoneticPr fontId="17" type="noConversion"/>
  </si>
  <si>
    <t>ECR-2607002</t>
    <phoneticPr fontId="17" type="noConversion"/>
  </si>
  <si>
    <t>5±1</t>
    <phoneticPr fontId="17" type="noConversion"/>
  </si>
  <si>
    <t>GAP-2 (ml/L)</t>
    <phoneticPr fontId="17" type="noConversion"/>
  </si>
  <si>
    <t>GAP-3 (ml/L)</t>
    <phoneticPr fontId="17" type="noConversion"/>
  </si>
  <si>
    <t>GAP-1 (ml/L)</t>
    <phoneticPr fontId="17" type="noConversion"/>
  </si>
  <si>
    <t>酸洗1</t>
    <phoneticPr fontId="17" type="noConversion"/>
  </si>
  <si>
    <t>酸洗2</t>
    <phoneticPr fontId="17" type="noConversion"/>
  </si>
  <si>
    <t>IPA (%)</t>
    <phoneticPr fontId="17" type="noConversion"/>
  </si>
  <si>
    <t>表處</t>
    <phoneticPr fontId="17" type="noConversion"/>
  </si>
  <si>
    <t>鍍銅1</t>
    <phoneticPr fontId="17" type="noConversion"/>
  </si>
  <si>
    <t>鍍銅2</t>
    <phoneticPr fontId="17" type="noConversion"/>
  </si>
  <si>
    <t>清潔</t>
    <phoneticPr fontId="17" type="noConversion"/>
  </si>
  <si>
    <t>酸浸</t>
    <phoneticPr fontId="17" type="noConversion"/>
  </si>
  <si>
    <t>鍍銅</t>
    <phoneticPr fontId="17" type="noConversion"/>
  </si>
  <si>
    <t>剝掛</t>
    <phoneticPr fontId="17" type="noConversion"/>
  </si>
  <si>
    <t>PARRADELETE (%)</t>
    <phoneticPr fontId="17" type="noConversion"/>
  </si>
  <si>
    <t>除鈀</t>
    <phoneticPr fontId="17" type="noConversion"/>
  </si>
  <si>
    <t>酸洗</t>
    <phoneticPr fontId="17" type="noConversion"/>
  </si>
  <si>
    <t>抗氧化</t>
    <phoneticPr fontId="17" type="noConversion"/>
  </si>
  <si>
    <t>PARRARINSE (%)</t>
    <phoneticPr fontId="17" type="noConversion"/>
  </si>
  <si>
    <t>鹽酸洗</t>
    <phoneticPr fontId="17" type="noConversion"/>
  </si>
  <si>
    <t>脫脂</t>
    <phoneticPr fontId="17" type="noConversion"/>
  </si>
  <si>
    <t>粗化</t>
    <phoneticPr fontId="17" type="noConversion"/>
  </si>
  <si>
    <t>顯影</t>
    <phoneticPr fontId="17" type="noConversion"/>
  </si>
  <si>
    <t>添加桶</t>
    <phoneticPr fontId="17" type="noConversion"/>
  </si>
  <si>
    <t>剝膜1</t>
    <phoneticPr fontId="17" type="noConversion"/>
  </si>
  <si>
    <t>剝膜2</t>
    <phoneticPr fontId="17" type="noConversion"/>
  </si>
  <si>
    <t>小槽</t>
    <phoneticPr fontId="17" type="noConversion"/>
  </si>
  <si>
    <t>顯影1</t>
    <phoneticPr fontId="17" type="noConversion"/>
  </si>
  <si>
    <t>顯影2</t>
    <phoneticPr fontId="17" type="noConversion"/>
  </si>
  <si>
    <t>剝膜3</t>
    <phoneticPr fontId="17" type="noConversion"/>
  </si>
  <si>
    <t>添加桶2</t>
    <phoneticPr fontId="17" type="noConversion"/>
  </si>
  <si>
    <t>添加桶1</t>
    <phoneticPr fontId="17" type="noConversion"/>
  </si>
  <si>
    <t>蝕刻</t>
    <phoneticPr fontId="17" type="noConversion"/>
  </si>
  <si>
    <t>蝕刻(銅)</t>
    <phoneticPr fontId="17" type="noConversion"/>
  </si>
  <si>
    <t>蝕刻(鎳)</t>
    <phoneticPr fontId="17" type="noConversion"/>
  </si>
  <si>
    <t>7±2</t>
    <phoneticPr fontId="17" type="noConversion"/>
  </si>
  <si>
    <r>
      <t>硫酸 (g/L)
H</t>
    </r>
    <r>
      <rPr>
        <vertAlign val="subscript"/>
        <sz val="22"/>
        <rFont val="標楷體"/>
        <family val="4"/>
        <charset val="136"/>
      </rPr>
      <t>2</t>
    </r>
    <r>
      <rPr>
        <sz val="22"/>
        <rFont val="標楷體"/>
        <family val="4"/>
        <charset val="136"/>
      </rPr>
      <t>SO</t>
    </r>
    <r>
      <rPr>
        <vertAlign val="subscript"/>
        <sz val="22"/>
        <rFont val="標楷體"/>
        <family val="4"/>
        <charset val="136"/>
      </rPr>
      <t>4</t>
    </r>
    <phoneticPr fontId="17" type="noConversion"/>
  </si>
  <si>
    <t>過硫酸鈉 (g/L)
SPS</t>
    <phoneticPr fontId="17" type="noConversion"/>
  </si>
  <si>
    <t>氫氧化鉀 (g/L)
KOH</t>
    <phoneticPr fontId="17" type="noConversion"/>
  </si>
  <si>
    <t>鎳  (g/L)
Ni</t>
    <phoneticPr fontId="17" type="noConversion"/>
  </si>
  <si>
    <r>
      <t>硫酸 (%)
H</t>
    </r>
    <r>
      <rPr>
        <vertAlign val="subscript"/>
        <sz val="22"/>
        <rFont val="標楷體"/>
        <family val="4"/>
        <charset val="136"/>
      </rPr>
      <t>2</t>
    </r>
    <r>
      <rPr>
        <sz val="22"/>
        <rFont val="標楷體"/>
        <family val="4"/>
        <charset val="136"/>
      </rPr>
      <t>SO</t>
    </r>
    <r>
      <rPr>
        <vertAlign val="subscript"/>
        <sz val="22"/>
        <rFont val="標楷體"/>
        <family val="4"/>
        <charset val="136"/>
      </rPr>
      <t>4</t>
    </r>
    <phoneticPr fontId="34" type="noConversion"/>
  </si>
  <si>
    <r>
      <t>氯化亞錫 (g/L)
SnCl</t>
    </r>
    <r>
      <rPr>
        <vertAlign val="subscript"/>
        <sz val="22"/>
        <rFont val="標楷體"/>
        <family val="4"/>
        <charset val="136"/>
      </rPr>
      <t>2</t>
    </r>
    <phoneticPr fontId="17" type="noConversion"/>
  </si>
  <si>
    <r>
      <t>亞磷酸鈉 (g/L)
Na</t>
    </r>
    <r>
      <rPr>
        <vertAlign val="subscript"/>
        <sz val="22"/>
        <rFont val="標楷體"/>
        <family val="4"/>
        <charset val="136"/>
      </rPr>
      <t>3</t>
    </r>
    <r>
      <rPr>
        <sz val="22"/>
        <rFont val="標楷體"/>
        <family val="4"/>
        <charset val="136"/>
      </rPr>
      <t>PO</t>
    </r>
    <r>
      <rPr>
        <vertAlign val="subscript"/>
        <sz val="22"/>
        <rFont val="標楷體"/>
        <family val="4"/>
        <charset val="136"/>
      </rPr>
      <t>3</t>
    </r>
    <phoneticPr fontId="17" type="noConversion"/>
  </si>
  <si>
    <r>
      <t>次磷酸鈉 (g/L)
NaH</t>
    </r>
    <r>
      <rPr>
        <vertAlign val="subscript"/>
        <sz val="22"/>
        <rFont val="標楷體"/>
        <family val="4"/>
        <charset val="136"/>
      </rPr>
      <t>2</t>
    </r>
    <r>
      <rPr>
        <sz val="22"/>
        <rFont val="標楷體"/>
        <family val="4"/>
        <charset val="136"/>
      </rPr>
      <t>PO</t>
    </r>
    <r>
      <rPr>
        <vertAlign val="subscript"/>
        <sz val="22"/>
        <rFont val="標楷體"/>
        <family val="4"/>
        <charset val="136"/>
      </rPr>
      <t>2</t>
    </r>
    <phoneticPr fontId="17" type="noConversion"/>
  </si>
  <si>
    <r>
      <t>硫酸 (g/L)
H</t>
    </r>
    <r>
      <rPr>
        <vertAlign val="subscript"/>
        <sz val="22"/>
        <rFont val="標楷體"/>
        <family val="4"/>
        <charset val="136"/>
      </rPr>
      <t>2</t>
    </r>
    <r>
      <rPr>
        <sz val="22"/>
        <rFont val="標楷體"/>
        <family val="4"/>
        <charset val="136"/>
      </rPr>
      <t>SO</t>
    </r>
    <r>
      <rPr>
        <vertAlign val="subscript"/>
        <sz val="22"/>
        <rFont val="標楷體"/>
        <family val="4"/>
        <charset val="136"/>
      </rPr>
      <t>4</t>
    </r>
    <phoneticPr fontId="34" type="noConversion"/>
  </si>
  <si>
    <r>
      <t>硫酸銅 (g/L)
CuSO</t>
    </r>
    <r>
      <rPr>
        <vertAlign val="subscript"/>
        <sz val="22"/>
        <color theme="1"/>
        <rFont val="標楷體"/>
        <family val="4"/>
        <charset val="136"/>
      </rPr>
      <t>4</t>
    </r>
    <r>
      <rPr>
        <sz val="22"/>
        <color theme="1"/>
        <rFont val="標楷體"/>
        <family val="4"/>
        <charset val="136"/>
      </rPr>
      <t>‧5H</t>
    </r>
    <r>
      <rPr>
        <vertAlign val="subscript"/>
        <sz val="22"/>
        <color theme="1"/>
        <rFont val="標楷體"/>
        <family val="4"/>
        <charset val="136"/>
      </rPr>
      <t>2</t>
    </r>
    <r>
      <rPr>
        <sz val="22"/>
        <color theme="1"/>
        <rFont val="標楷體"/>
        <family val="4"/>
        <charset val="136"/>
      </rPr>
      <t>O</t>
    </r>
    <phoneticPr fontId="34" type="noConversion"/>
  </si>
  <si>
    <r>
      <t>氯離子 (ppm)
Cl</t>
    </r>
    <r>
      <rPr>
        <vertAlign val="superscript"/>
        <sz val="22"/>
        <color theme="1"/>
        <rFont val="標楷體"/>
        <family val="4"/>
        <charset val="136"/>
      </rPr>
      <t>-</t>
    </r>
    <phoneticPr fontId="34" type="noConversion"/>
  </si>
  <si>
    <r>
      <t>硫酸(ml/L)
H</t>
    </r>
    <r>
      <rPr>
        <vertAlign val="subscript"/>
        <sz val="22"/>
        <rFont val="標楷體"/>
        <family val="4"/>
        <charset val="136"/>
      </rPr>
      <t>2</t>
    </r>
    <r>
      <rPr>
        <sz val="22"/>
        <rFont val="標楷體"/>
        <family val="4"/>
        <charset val="136"/>
      </rPr>
      <t>SO</t>
    </r>
    <r>
      <rPr>
        <vertAlign val="subscript"/>
        <sz val="22"/>
        <rFont val="標楷體"/>
        <family val="4"/>
        <charset val="136"/>
      </rPr>
      <t>4</t>
    </r>
    <phoneticPr fontId="34" type="noConversion"/>
  </si>
  <si>
    <r>
      <t>銅離子 (g/L)
Cu</t>
    </r>
    <r>
      <rPr>
        <vertAlign val="superscript"/>
        <sz val="22"/>
        <color theme="1"/>
        <rFont val="標楷體"/>
        <family val="4"/>
        <charset val="136"/>
      </rPr>
      <t>2+</t>
    </r>
    <phoneticPr fontId="34" type="noConversion"/>
  </si>
  <si>
    <r>
      <t>雙氧水 (g/L)
H</t>
    </r>
    <r>
      <rPr>
        <vertAlign val="subscript"/>
        <sz val="22"/>
        <color theme="1"/>
        <rFont val="標楷體"/>
        <family val="4"/>
        <charset val="136"/>
      </rPr>
      <t>2</t>
    </r>
    <r>
      <rPr>
        <sz val="22"/>
        <color theme="1"/>
        <rFont val="標楷體"/>
        <family val="4"/>
        <charset val="136"/>
      </rPr>
      <t>O</t>
    </r>
    <r>
      <rPr>
        <vertAlign val="subscript"/>
        <sz val="22"/>
        <color theme="1"/>
        <rFont val="標楷體"/>
        <family val="4"/>
        <charset val="136"/>
      </rPr>
      <t>2</t>
    </r>
    <phoneticPr fontId="34" type="noConversion"/>
  </si>
  <si>
    <t>槽別</t>
    <phoneticPr fontId="17" type="noConversion"/>
  </si>
  <si>
    <t>過硫酸鈉 (g/L)
SPS</t>
    <phoneticPr fontId="34" type="noConversion"/>
  </si>
  <si>
    <t>ECR-2607004</t>
    <phoneticPr fontId="17" type="noConversion"/>
  </si>
  <si>
    <t>鹽酸 (%)
HCl</t>
    <phoneticPr fontId="34" type="noConversion"/>
  </si>
  <si>
    <t>氫氧化鉀 (%)
KOH</t>
    <phoneticPr fontId="34" type="noConversion"/>
  </si>
  <si>
    <r>
      <t>銅離子 (mg/L)
Cu</t>
    </r>
    <r>
      <rPr>
        <vertAlign val="superscript"/>
        <sz val="22"/>
        <color theme="1"/>
        <rFont val="標楷體"/>
        <family val="4"/>
        <charset val="136"/>
      </rPr>
      <t>2+</t>
    </r>
    <phoneticPr fontId="34" type="noConversion"/>
  </si>
  <si>
    <r>
      <t>碳酸鈉 (%)
Na</t>
    </r>
    <r>
      <rPr>
        <vertAlign val="subscript"/>
        <sz val="22"/>
        <color theme="1"/>
        <rFont val="標楷體"/>
        <family val="4"/>
        <charset val="136"/>
      </rPr>
      <t>2</t>
    </r>
    <r>
      <rPr>
        <sz val="22"/>
        <color theme="1"/>
        <rFont val="標楷體"/>
        <family val="4"/>
        <charset val="136"/>
      </rPr>
      <t>CO</t>
    </r>
    <r>
      <rPr>
        <vertAlign val="subscript"/>
        <sz val="22"/>
        <color theme="1"/>
        <rFont val="標楷體"/>
        <family val="4"/>
        <charset val="136"/>
      </rPr>
      <t>3</t>
    </r>
    <phoneticPr fontId="34" type="noConversion"/>
  </si>
  <si>
    <r>
      <t>雙氧水 (%)
H</t>
    </r>
    <r>
      <rPr>
        <vertAlign val="subscript"/>
        <sz val="22"/>
        <color theme="1"/>
        <rFont val="標楷體"/>
        <family val="4"/>
        <charset val="136"/>
      </rPr>
      <t>2</t>
    </r>
    <r>
      <rPr>
        <sz val="22"/>
        <color theme="1"/>
        <rFont val="標楷體"/>
        <family val="4"/>
        <charset val="136"/>
      </rPr>
      <t>O</t>
    </r>
    <r>
      <rPr>
        <vertAlign val="subscript"/>
        <sz val="22"/>
        <color theme="1"/>
        <rFont val="標楷體"/>
        <family val="4"/>
        <charset val="136"/>
      </rPr>
      <t>2</t>
    </r>
    <phoneticPr fontId="34" type="noConversion"/>
  </si>
  <si>
    <r>
      <t>硝酸 (%)
HNO</t>
    </r>
    <r>
      <rPr>
        <vertAlign val="subscript"/>
        <sz val="22"/>
        <rFont val="標楷體"/>
        <family val="4"/>
        <charset val="136"/>
      </rPr>
      <t>3</t>
    </r>
    <phoneticPr fontId="34" type="noConversion"/>
  </si>
  <si>
    <t>比重
Proportion</t>
    <phoneticPr fontId="17" type="noConversion"/>
  </si>
  <si>
    <t>ECR-2607006</t>
    <phoneticPr fontId="17" type="noConversion"/>
  </si>
  <si>
    <t>200±20</t>
    <phoneticPr fontId="17" type="noConversion"/>
  </si>
  <si>
    <t>ECR-2608002</t>
    <phoneticPr fontId="17" type="noConversion"/>
  </si>
  <si>
    <t>10±4</t>
    <phoneticPr fontId="17" type="noConversion"/>
  </si>
  <si>
    <t>7±3</t>
    <phoneticPr fontId="17" type="noConversion"/>
  </si>
  <si>
    <t>14±2</t>
    <phoneticPr fontId="17" type="noConversion"/>
  </si>
  <si>
    <t>8±2</t>
    <phoneticPr fontId="17" type="noConversion"/>
  </si>
  <si>
    <r>
      <t>硫酸 (%)
H</t>
    </r>
    <r>
      <rPr>
        <vertAlign val="subscript"/>
        <sz val="22"/>
        <color rgb="FF0000FF"/>
        <rFont val="標楷體"/>
        <family val="4"/>
        <charset val="136"/>
      </rPr>
      <t>2</t>
    </r>
    <r>
      <rPr>
        <sz val="22"/>
        <color rgb="FF0000FF"/>
        <rFont val="標楷體"/>
        <family val="4"/>
        <charset val="136"/>
      </rPr>
      <t>SO</t>
    </r>
    <r>
      <rPr>
        <vertAlign val="subscript"/>
        <sz val="22"/>
        <color rgb="FF0000FF"/>
        <rFont val="標楷體"/>
        <family val="4"/>
        <charset val="136"/>
      </rPr>
      <t>4</t>
    </r>
    <phoneticPr fontId="34" type="noConversion"/>
  </si>
  <si>
    <r>
      <t>雙氧水 (%)
H</t>
    </r>
    <r>
      <rPr>
        <vertAlign val="subscript"/>
        <sz val="22"/>
        <color rgb="FF0000FF"/>
        <rFont val="標楷體"/>
        <family val="4"/>
        <charset val="136"/>
      </rPr>
      <t>2</t>
    </r>
    <r>
      <rPr>
        <sz val="22"/>
        <color rgb="FF0000FF"/>
        <rFont val="標楷體"/>
        <family val="4"/>
        <charset val="136"/>
      </rPr>
      <t>O</t>
    </r>
    <r>
      <rPr>
        <vertAlign val="subscript"/>
        <sz val="22"/>
        <color rgb="FF0000FF"/>
        <rFont val="標楷體"/>
        <family val="4"/>
        <charset val="136"/>
      </rPr>
      <t>2</t>
    </r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</si>
</sst>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76" formatCode="0.0"/>
    <numFmt numFmtId="177" formatCode="0.00_ "/>
    <numFmt numFmtId="178" formatCode="0_);[Red]\(0\)"/>
  </numFmts>
  <fonts count="38">
    <font>
      <sz val="12"/>
      <name val="新細明體"/>
      <charset val="136"/>
    </font>
    <font>
      <sz val="14"/>
      <name val="標楷體"/>
      <family val="4"/>
      <charset val="136"/>
    </font>
    <font>
      <sz val="22"/>
      <name val="標楷體"/>
      <family val="4"/>
      <charset val="136"/>
    </font>
    <font>
      <sz val="36"/>
      <name val="標楷體"/>
      <family val="4"/>
      <charset val="136"/>
    </font>
    <font>
      <sz val="28"/>
      <name val="標楷體"/>
      <family val="4"/>
      <charset val="136"/>
    </font>
    <font>
      <sz val="22"/>
      <color theme="1"/>
      <name val="標楷體"/>
      <family val="4"/>
      <charset val="136"/>
    </font>
    <font>
      <sz val="22"/>
      <name val="微軟正黑體"/>
      <family val="2"/>
      <charset val="136"/>
    </font>
    <font>
      <b/>
      <sz val="22"/>
      <name val="標楷體"/>
      <family val="4"/>
      <charset val="136"/>
    </font>
    <font>
      <sz val="20"/>
      <color theme="1"/>
      <name val="標楷體"/>
      <family val="4"/>
      <charset val="136"/>
    </font>
    <font>
      <sz val="22"/>
      <color theme="0"/>
      <name val="標楷體"/>
      <family val="4"/>
      <charset val="136"/>
    </font>
    <font>
      <sz val="18"/>
      <name val="標楷體"/>
      <family val="4"/>
      <charset val="136"/>
    </font>
    <font>
      <sz val="18"/>
      <color rgb="FF0000FF"/>
      <name val="標楷體"/>
      <family val="4"/>
      <charset val="136"/>
    </font>
    <font>
      <sz val="14"/>
      <color rgb="FF0000FF"/>
      <name val="標楷體"/>
      <family val="4"/>
      <charset val="136"/>
    </font>
    <font>
      <sz val="2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2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22"/>
      <name val="標楷體"/>
      <family val="4"/>
      <charset val="136"/>
    </font>
    <font>
      <sz val="22"/>
      <color theme="1"/>
      <name val="標楷體"/>
      <family val="4"/>
      <charset val="136"/>
    </font>
    <font>
      <sz val="22"/>
      <color theme="0"/>
      <name val="標楷體"/>
      <family val="4"/>
      <charset val="136"/>
    </font>
    <font>
      <sz val="12"/>
      <name val="微軟正黑體"/>
      <family val="2"/>
      <charset val="136"/>
    </font>
    <font>
      <sz val="14"/>
      <name val="Calibri"/>
      <family val="2"/>
    </font>
    <font>
      <sz val="12"/>
      <name val="Calibri"/>
      <family val="2"/>
    </font>
    <font>
      <vertAlign val="subscript"/>
      <sz val="12"/>
      <name val="Calibri"/>
      <family val="2"/>
    </font>
    <font>
      <b/>
      <sz val="12"/>
      <name val="Calibri"/>
      <family val="2"/>
    </font>
    <font>
      <sz val="12"/>
      <name val="Microsoft JhengHei"/>
      <family val="2"/>
    </font>
    <font>
      <sz val="26"/>
      <name val="標楷體"/>
      <family val="4"/>
      <charset val="136"/>
    </font>
    <font>
      <strike/>
      <sz val="22"/>
      <name val="標楷體"/>
      <family val="4"/>
      <charset val="136"/>
    </font>
    <font>
      <sz val="22"/>
      <color rgb="FFFF0000"/>
      <name val="標楷體"/>
      <family val="4"/>
      <charset val="136"/>
    </font>
    <font>
      <vertAlign val="subscript"/>
      <sz val="22"/>
      <name val="標楷體"/>
      <family val="4"/>
      <charset val="136"/>
    </font>
    <font>
      <vertAlign val="superscript"/>
      <sz val="22"/>
      <color theme="1"/>
      <name val="標楷體"/>
      <family val="4"/>
      <charset val="136"/>
    </font>
    <font>
      <vertAlign val="subscript"/>
      <sz val="2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22"/>
      <color rgb="FF0000FF"/>
      <name val="標楷體"/>
      <family val="4"/>
      <charset val="136"/>
    </font>
    <font>
      <sz val="22"/>
      <color rgb="FF0000FF"/>
      <name val="微軟正黑體"/>
      <family val="2"/>
      <charset val="136"/>
    </font>
    <font>
      <vertAlign val="subscript"/>
      <sz val="22"/>
      <color rgb="FF0000FF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6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</cellStyleXfs>
  <cellXfs count="331">
    <xf numFmtId="0" fontId="0" fillId="0" borderId="0" xfId="0">
      <alignment vertical="center"/>
    </xf>
    <xf numFmtId="0" fontId="5" fillId="0" borderId="5" xfId="4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2" fontId="7" fillId="0" borderId="3" xfId="0" applyNumberFormat="1" applyFont="1" applyBorder="1" applyAlignment="1" applyProtection="1">
      <alignment horizontal="center" vertical="center"/>
      <protection locked="0"/>
    </xf>
    <xf numFmtId="2" fontId="7" fillId="0" borderId="1" xfId="0" applyNumberFormat="1" applyFont="1" applyBorder="1" applyAlignment="1" applyProtection="1">
      <alignment horizontal="center" vertical="center"/>
      <protection locked="0"/>
    </xf>
    <xf numFmtId="2" fontId="7" fillId="0" borderId="7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1" xfId="0" applyNumberFormat="1" applyFont="1" applyBorder="1" applyAlignment="1" applyProtection="1">
      <alignment horizontal="center" vertical="center"/>
      <protection locked="0"/>
    </xf>
    <xf numFmtId="176" fontId="2" fillId="0" borderId="6" xfId="0" applyNumberFormat="1" applyFont="1" applyBorder="1" applyAlignment="1" applyProtection="1">
      <alignment horizontal="center" vertical="center"/>
      <protection locked="0"/>
    </xf>
    <xf numFmtId="176" fontId="2" fillId="0" borderId="8" xfId="0" applyNumberFormat="1" applyFont="1" applyBorder="1" applyAlignment="1" applyProtection="1">
      <alignment horizontal="center" vertical="center"/>
      <protection locked="0"/>
    </xf>
    <xf numFmtId="176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0" borderId="3" xfId="1" applyNumberFormat="1" applyFont="1" applyFill="1" applyBorder="1" applyAlignment="1" applyProtection="1">
      <alignment horizontal="center" vertical="center"/>
    </xf>
    <xf numFmtId="0" fontId="2" fillId="0" borderId="5" xfId="1" applyNumberFormat="1" applyFont="1" applyFill="1" applyBorder="1" applyAlignment="1" applyProtection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4" applyFont="1" applyAlignment="1">
      <alignment horizontal="center" vertical="center"/>
    </xf>
    <xf numFmtId="0" fontId="2" fillId="0" borderId="0" xfId="4" applyFont="1">
      <alignment vertical="center"/>
    </xf>
    <xf numFmtId="0" fontId="10" fillId="0" borderId="0" xfId="4" applyFont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0" borderId="0" xfId="4" applyFont="1">
      <alignment vertical="center"/>
    </xf>
    <xf numFmtId="0" fontId="11" fillId="0" borderId="0" xfId="4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176" fontId="2" fillId="0" borderId="1" xfId="4" applyNumberFormat="1" applyFont="1" applyBorder="1" applyAlignment="1" applyProtection="1">
      <alignment horizontal="center" vertical="center"/>
      <protection locked="0"/>
    </xf>
    <xf numFmtId="2" fontId="7" fillId="0" borderId="3" xfId="4" applyNumberFormat="1" applyFont="1" applyBorder="1" applyAlignment="1">
      <alignment horizontal="center" vertical="center"/>
    </xf>
    <xf numFmtId="14" fontId="5" fillId="0" borderId="1" xfId="4" applyNumberFormat="1" applyFont="1" applyBorder="1" applyAlignment="1">
      <alignment horizontal="center" vertical="center"/>
    </xf>
    <xf numFmtId="178" fontId="5" fillId="0" borderId="1" xfId="4" applyNumberFormat="1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2" fontId="7" fillId="0" borderId="1" xfId="4" applyNumberFormat="1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2" fontId="7" fillId="0" borderId="1" xfId="4" applyNumberFormat="1" applyFont="1" applyBorder="1" applyAlignment="1" applyProtection="1">
      <alignment horizontal="center" vertical="center"/>
      <protection locked="0"/>
    </xf>
    <xf numFmtId="2" fontId="7" fillId="0" borderId="8" xfId="4" applyNumberFormat="1" applyFont="1" applyBorder="1" applyAlignment="1" applyProtection="1">
      <alignment horizontal="center" vertical="center"/>
      <protection locked="0"/>
    </xf>
    <xf numFmtId="2" fontId="7" fillId="0" borderId="6" xfId="4" applyNumberFormat="1" applyFont="1" applyBorder="1" applyAlignment="1" applyProtection="1">
      <alignment horizontal="center" vertical="center"/>
      <protection locked="0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176" fontId="2" fillId="0" borderId="8" xfId="4" applyNumberFormat="1" applyFont="1" applyBorder="1" applyAlignment="1" applyProtection="1">
      <alignment horizontal="center" vertical="center"/>
      <protection locked="0"/>
    </xf>
    <xf numFmtId="0" fontId="9" fillId="0" borderId="11" xfId="4" applyFont="1" applyBorder="1" applyAlignment="1">
      <alignment horizontal="center" vertical="center"/>
    </xf>
    <xf numFmtId="0" fontId="2" fillId="0" borderId="9" xfId="4" applyFont="1" applyBorder="1">
      <alignment vertical="center"/>
    </xf>
    <xf numFmtId="0" fontId="2" fillId="0" borderId="14" xfId="4" applyFont="1" applyBorder="1">
      <alignment vertical="center"/>
    </xf>
    <xf numFmtId="0" fontId="2" fillId="0" borderId="10" xfId="4" applyFont="1" applyBorder="1">
      <alignment vertical="center"/>
    </xf>
    <xf numFmtId="0" fontId="2" fillId="0" borderId="12" xfId="4" applyFont="1" applyBorder="1">
      <alignment vertical="center"/>
    </xf>
    <xf numFmtId="0" fontId="2" fillId="0" borderId="13" xfId="4" applyFont="1" applyBorder="1">
      <alignment vertical="center"/>
    </xf>
    <xf numFmtId="0" fontId="2" fillId="0" borderId="0" xfId="4" applyFont="1" applyAlignment="1">
      <alignment horizontal="left" vertical="center"/>
    </xf>
    <xf numFmtId="0" fontId="2" fillId="0" borderId="0" xfId="4" applyFont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7" fillId="0" borderId="6" xfId="0" applyNumberFormat="1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3" xfId="1" applyNumberFormat="1" applyFont="1" applyFill="1" applyBorder="1" applyAlignment="1" applyProtection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176" fontId="19" fillId="0" borderId="1" xfId="0" applyNumberFormat="1" applyFont="1" applyBorder="1" applyAlignment="1" applyProtection="1">
      <alignment horizontal="center" vertical="center"/>
      <protection locked="0"/>
    </xf>
    <xf numFmtId="176" fontId="19" fillId="2" borderId="1" xfId="0" applyNumberFormat="1" applyFont="1" applyFill="1" applyBorder="1" applyAlignment="1">
      <alignment horizontal="center" vertical="center"/>
    </xf>
    <xf numFmtId="176" fontId="19" fillId="0" borderId="11" xfId="0" applyNumberFormat="1" applyFont="1" applyBorder="1" applyAlignment="1" applyProtection="1">
      <alignment horizontal="center" vertical="center"/>
      <protection locked="0"/>
    </xf>
    <xf numFmtId="176" fontId="19" fillId="0" borderId="6" xfId="0" applyNumberFormat="1" applyFont="1" applyBorder="1" applyAlignment="1" applyProtection="1">
      <alignment horizontal="center" vertical="center"/>
      <protection locked="0"/>
    </xf>
    <xf numFmtId="176" fontId="19" fillId="0" borderId="8" xfId="0" applyNumberFormat="1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9" fillId="0" borderId="3" xfId="1" applyNumberFormat="1" applyFont="1" applyFill="1" applyBorder="1" applyAlignment="1" applyProtection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0" fillId="0" borderId="1" xfId="3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3" borderId="6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8" fillId="0" borderId="0" xfId="0" applyFont="1" applyAlignment="1">
      <alignment vertical="center" wrapText="1"/>
    </xf>
    <xf numFmtId="176" fontId="2" fillId="2" borderId="6" xfId="0" applyNumberFormat="1" applyFont="1" applyFill="1" applyBorder="1" applyAlignment="1">
      <alignment horizontal="center" vertical="center"/>
    </xf>
    <xf numFmtId="0" fontId="21" fillId="0" borderId="3" xfId="1" applyNumberFormat="1" applyFont="1" applyFill="1" applyBorder="1" applyAlignment="1" applyProtection="1">
      <alignment horizontal="center" vertical="center"/>
    </xf>
    <xf numFmtId="2" fontId="7" fillId="0" borderId="5" xfId="1" applyNumberFormat="1" applyFont="1" applyFill="1" applyBorder="1" applyAlignment="1" applyProtection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5" xfId="1" applyNumberFormat="1" applyFont="1" applyFill="1" applyBorder="1" applyAlignment="1" applyProtection="1">
      <alignment horizontal="center" vertical="center"/>
      <protection locked="0"/>
    </xf>
    <xf numFmtId="2" fontId="7" fillId="0" borderId="5" xfId="0" applyNumberFormat="1" applyFont="1" applyBorder="1" applyAlignment="1" applyProtection="1">
      <alignment horizontal="center" vertical="center"/>
      <protection locked="0"/>
    </xf>
    <xf numFmtId="0" fontId="21" fillId="0" borderId="5" xfId="1" applyNumberFormat="1" applyFont="1" applyFill="1" applyBorder="1" applyAlignment="1" applyProtection="1">
      <alignment horizontal="center" vertical="center"/>
    </xf>
    <xf numFmtId="0" fontId="9" fillId="0" borderId="9" xfId="0" applyFont="1" applyBorder="1" applyAlignment="1">
      <alignment horizontal="center" vertical="center"/>
    </xf>
    <xf numFmtId="9" fontId="5" fillId="0" borderId="1" xfId="5" applyFont="1" applyFill="1" applyBorder="1" applyAlignment="1" applyProtection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5" fillId="0" borderId="3" xfId="4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Continuous" vertical="center"/>
    </xf>
    <xf numFmtId="0" fontId="1" fillId="4" borderId="0" xfId="0" applyFont="1" applyFill="1" applyAlignment="1">
      <alignment horizontal="centerContinuous" vertical="center"/>
    </xf>
    <xf numFmtId="0" fontId="19" fillId="0" borderId="5" xfId="0" applyFont="1" applyBorder="1" applyAlignment="1" applyProtection="1">
      <alignment horizontal="center" vertical="center"/>
      <protection locked="0"/>
    </xf>
    <xf numFmtId="0" fontId="19" fillId="0" borderId="5" xfId="1" applyNumberFormat="1" applyFont="1" applyFill="1" applyBorder="1" applyAlignment="1" applyProtection="1">
      <alignment horizontal="center" vertical="center"/>
      <protection locked="0"/>
    </xf>
    <xf numFmtId="2" fontId="5" fillId="0" borderId="1" xfId="4" applyNumberFormat="1" applyFont="1" applyBorder="1" applyAlignment="1" applyProtection="1">
      <alignment horizontal="center" vertical="center"/>
      <protection locked="0"/>
    </xf>
    <xf numFmtId="176" fontId="2" fillId="2" borderId="1" xfId="0" applyNumberFormat="1" applyFont="1" applyFill="1" applyBorder="1" applyAlignment="1" applyProtection="1">
      <alignment horizontal="center" vertical="center"/>
      <protection locked="0"/>
    </xf>
    <xf numFmtId="2" fontId="5" fillId="0" borderId="1" xfId="4" applyNumberFormat="1" applyFont="1" applyBorder="1" applyAlignment="1">
      <alignment horizontal="center" vertical="center" wrapText="1"/>
    </xf>
    <xf numFmtId="2" fontId="8" fillId="0" borderId="1" xfId="4" applyNumberFormat="1" applyFont="1" applyBorder="1" applyAlignment="1">
      <alignment horizontal="center" vertical="center" wrapText="1"/>
    </xf>
    <xf numFmtId="0" fontId="23" fillId="0" borderId="0" xfId="0" applyFont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6" fillId="0" borderId="0" xfId="0" applyFont="1" applyProtection="1">
      <alignment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24" fillId="0" borderId="16" xfId="0" applyFont="1" applyBorder="1">
      <alignment vertical="center"/>
    </xf>
    <xf numFmtId="0" fontId="24" fillId="0" borderId="3" xfId="0" applyFont="1" applyBorder="1">
      <alignment vertical="center"/>
    </xf>
    <xf numFmtId="0" fontId="24" fillId="0" borderId="17" xfId="0" applyFont="1" applyBorder="1">
      <alignment vertical="center"/>
    </xf>
    <xf numFmtId="0" fontId="24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6" fontId="19" fillId="0" borderId="18" xfId="0" applyNumberFormat="1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8" xfId="1" applyNumberFormat="1" applyFont="1" applyFill="1" applyBorder="1" applyAlignment="1" applyProtection="1">
      <alignment horizontal="center" vertical="center"/>
    </xf>
    <xf numFmtId="2" fontId="7" fillId="0" borderId="18" xfId="0" applyNumberFormat="1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2" fontId="2" fillId="0" borderId="8" xfId="0" applyNumberFormat="1" applyFont="1" applyBorder="1" applyAlignment="1" applyProtection="1">
      <alignment horizontal="center" vertical="center"/>
      <protection locked="0"/>
    </xf>
    <xf numFmtId="2" fontId="19" fillId="0" borderId="5" xfId="0" applyNumberFormat="1" applyFont="1" applyBorder="1" applyAlignment="1" applyProtection="1">
      <alignment horizontal="center" vertical="center"/>
      <protection locked="0"/>
    </xf>
    <xf numFmtId="2" fontId="19" fillId="0" borderId="5" xfId="1" applyNumberFormat="1" applyFont="1" applyFill="1" applyBorder="1" applyAlignment="1" applyProtection="1">
      <alignment horizontal="center" vertical="center"/>
      <protection locked="0"/>
    </xf>
    <xf numFmtId="0" fontId="5" fillId="0" borderId="18" xfId="3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1" fontId="5" fillId="0" borderId="18" xfId="2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2" fontId="2" fillId="0" borderId="11" xfId="0" applyNumberFormat="1" applyFont="1" applyBorder="1" applyAlignment="1" applyProtection="1">
      <alignment horizontal="center" vertical="center"/>
      <protection locked="0"/>
    </xf>
    <xf numFmtId="2" fontId="2" fillId="0" borderId="6" xfId="0" applyNumberFormat="1" applyFont="1" applyBorder="1" applyAlignment="1" applyProtection="1">
      <alignment horizontal="center" vertical="center"/>
      <protection locked="0"/>
    </xf>
    <xf numFmtId="2" fontId="2" fillId="0" borderId="7" xfId="0" applyNumberFormat="1" applyFont="1" applyBorder="1" applyAlignment="1" applyProtection="1">
      <alignment horizontal="center" vertical="center"/>
      <protection locked="0"/>
    </xf>
    <xf numFmtId="0" fontId="5" fillId="0" borderId="3" xfId="3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19" fillId="2" borderId="6" xfId="0" applyNumberFormat="1" applyFont="1" applyFill="1" applyBorder="1" applyAlignment="1">
      <alignment horizontal="center" vertical="center"/>
    </xf>
    <xf numFmtId="2" fontId="7" fillId="0" borderId="18" xfId="0" applyNumberFormat="1" applyFont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Alignment="1">
      <alignment horizontal="center" vertical="center"/>
    </xf>
    <xf numFmtId="2" fontId="19" fillId="2" borderId="1" xfId="0" applyNumberFormat="1" applyFont="1" applyFill="1" applyBorder="1" applyAlignment="1">
      <alignment horizontal="center" vertical="center"/>
    </xf>
    <xf numFmtId="2" fontId="19" fillId="0" borderId="11" xfId="0" applyNumberFormat="1" applyFont="1" applyBorder="1" applyAlignment="1" applyProtection="1">
      <alignment horizontal="center" vertical="center"/>
      <protection locked="0"/>
    </xf>
    <xf numFmtId="2" fontId="19" fillId="0" borderId="6" xfId="0" applyNumberFormat="1" applyFont="1" applyBorder="1" applyAlignment="1" applyProtection="1">
      <alignment horizontal="center" vertical="center"/>
      <protection locked="0"/>
    </xf>
    <xf numFmtId="2" fontId="2" fillId="2" borderId="18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2" fontId="19" fillId="0" borderId="18" xfId="0" applyNumberFormat="1" applyFont="1" applyBorder="1" applyAlignment="1" applyProtection="1">
      <alignment horizontal="center" vertical="center"/>
      <protection locked="0"/>
    </xf>
    <xf numFmtId="0" fontId="29" fillId="0" borderId="1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4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1" xfId="1" applyNumberFormat="1" applyFont="1" applyFill="1" applyBorder="1" applyAlignment="1" applyProtection="1">
      <alignment horizontal="center" vertical="center"/>
    </xf>
    <xf numFmtId="0" fontId="29" fillId="0" borderId="3" xfId="1" applyNumberFormat="1" applyFont="1" applyFill="1" applyBorder="1" applyAlignment="1" applyProtection="1">
      <alignment horizontal="center" vertical="center"/>
    </xf>
    <xf numFmtId="0" fontId="29" fillId="0" borderId="5" xfId="1" applyNumberFormat="1" applyFont="1" applyFill="1" applyBorder="1" applyAlignment="1" applyProtection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30" fillId="0" borderId="18" xfId="2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1" applyNumberFormat="1" applyFont="1" applyFill="1" applyBorder="1" applyAlignment="1" applyProtection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77" fontId="5" fillId="0" borderId="18" xfId="3" applyNumberFormat="1" applyFont="1" applyBorder="1" applyAlignment="1">
      <alignment horizontal="center" vertical="center" wrapText="1"/>
    </xf>
    <xf numFmtId="177" fontId="5" fillId="0" borderId="1" xfId="3" applyNumberFormat="1" applyFont="1" applyBorder="1" applyAlignment="1">
      <alignment horizontal="center" vertical="center" wrapText="1"/>
    </xf>
    <xf numFmtId="176" fontId="5" fillId="0" borderId="18" xfId="3" applyNumberFormat="1" applyFont="1" applyBorder="1" applyAlignment="1">
      <alignment horizontal="center" vertical="center" wrapText="1"/>
    </xf>
    <xf numFmtId="176" fontId="5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2" fontId="5" fillId="0" borderId="18" xfId="3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20" fillId="0" borderId="6" xfId="2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0" borderId="3" xfId="4" applyFont="1" applyBorder="1" applyAlignment="1">
      <alignment horizontal="center" vertical="center" wrapText="1"/>
    </xf>
    <xf numFmtId="0" fontId="2" fillId="0" borderId="4" xfId="4" applyFont="1" applyBorder="1" applyAlignment="1">
      <alignment horizontal="center" vertical="center" wrapText="1"/>
    </xf>
    <xf numFmtId="0" fontId="2" fillId="0" borderId="5" xfId="4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19" fillId="0" borderId="7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35" fillId="0" borderId="6" xfId="0" applyFont="1" applyBorder="1" applyAlignment="1" applyProtection="1">
      <alignment horizontal="center" vertical="center"/>
      <protection locked="0"/>
    </xf>
    <xf numFmtId="0" fontId="35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0" fillId="0" borderId="1" xfId="2" applyFont="1" applyBorder="1" applyAlignment="1">
      <alignment horizontal="center" vertical="center"/>
    </xf>
    <xf numFmtId="14" fontId="2" fillId="0" borderId="3" xfId="0" applyNumberFormat="1" applyFont="1" applyBorder="1" applyAlignment="1" applyProtection="1">
      <alignment horizontal="left" vertical="top"/>
      <protection locked="0"/>
    </xf>
    <xf numFmtId="14" fontId="2" fillId="0" borderId="4" xfId="0" applyNumberFormat="1" applyFont="1" applyBorder="1" applyAlignment="1" applyProtection="1">
      <alignment horizontal="left" vertical="top"/>
      <protection locked="0"/>
    </xf>
    <xf numFmtId="14" fontId="2" fillId="0" borderId="5" xfId="0" applyNumberFormat="1" applyFont="1" applyBorder="1" applyAlignment="1" applyProtection="1">
      <alignment horizontal="left" vertical="top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2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1" xfId="0" applyFont="1" applyBorder="1" applyAlignment="1" applyProtection="1">
      <alignment horizontal="left" vertical="center"/>
      <protection locked="0"/>
    </xf>
    <xf numFmtId="14" fontId="2" fillId="0" borderId="1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19" fillId="0" borderId="3" xfId="0" applyNumberFormat="1" applyFont="1" applyBorder="1" applyAlignment="1" applyProtection="1">
      <alignment horizontal="center" vertical="center"/>
      <protection locked="0"/>
    </xf>
    <xf numFmtId="2" fontId="19" fillId="0" borderId="5" xfId="0" applyNumberFormat="1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19" fillId="0" borderId="5" xfId="0" applyFont="1" applyBorder="1" applyAlignment="1" applyProtection="1">
      <alignment horizontal="center" vertical="center"/>
      <protection locked="0"/>
    </xf>
    <xf numFmtId="176" fontId="19" fillId="2" borderId="3" xfId="0" applyNumberFormat="1" applyFont="1" applyFill="1" applyBorder="1" applyAlignment="1">
      <alignment horizontal="center" vertical="center"/>
    </xf>
    <xf numFmtId="176" fontId="19" fillId="2" borderId="5" xfId="0" applyNumberFormat="1" applyFont="1" applyFill="1" applyBorder="1" applyAlignment="1">
      <alignment horizontal="center" vertical="center"/>
    </xf>
    <xf numFmtId="2" fontId="19" fillId="0" borderId="3" xfId="1" applyNumberFormat="1" applyFont="1" applyFill="1" applyBorder="1" applyAlignment="1" applyProtection="1">
      <alignment horizontal="center" vertical="center"/>
      <protection locked="0"/>
    </xf>
    <xf numFmtId="2" fontId="19" fillId="0" borderId="5" xfId="1" applyNumberFormat="1" applyFont="1" applyFill="1" applyBorder="1" applyAlignment="1" applyProtection="1">
      <alignment horizontal="center" vertical="center"/>
      <protection locked="0"/>
    </xf>
    <xf numFmtId="0" fontId="19" fillId="0" borderId="3" xfId="1" applyNumberFormat="1" applyFont="1" applyFill="1" applyBorder="1" applyAlignment="1" applyProtection="1">
      <alignment horizontal="center" vertical="center"/>
      <protection locked="0"/>
    </xf>
    <xf numFmtId="0" fontId="19" fillId="0" borderId="5" xfId="1" applyNumberFormat="1" applyFont="1" applyFill="1" applyBorder="1" applyAlignment="1" applyProtection="1">
      <alignment horizontal="center" vertical="center"/>
      <protection locked="0"/>
    </xf>
    <xf numFmtId="14" fontId="2" fillId="0" borderId="3" xfId="0" applyNumberFormat="1" applyFont="1" applyBorder="1" applyAlignment="1" applyProtection="1">
      <alignment horizontal="left" vertical="center"/>
      <protection locked="0"/>
    </xf>
    <xf numFmtId="14" fontId="2" fillId="0" borderId="4" xfId="0" applyNumberFormat="1" applyFont="1" applyBorder="1" applyAlignment="1" applyProtection="1">
      <alignment horizontal="left" vertical="center"/>
      <protection locked="0"/>
    </xf>
    <xf numFmtId="14" fontId="2" fillId="0" borderId="5" xfId="0" applyNumberFormat="1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4" applyFont="1" applyAlignment="1">
      <alignment horizontal="center" vertical="center"/>
    </xf>
    <xf numFmtId="0" fontId="3" fillId="0" borderId="2" xfId="4" applyFont="1" applyBorder="1" applyAlignment="1">
      <alignment horizontal="center"/>
    </xf>
    <xf numFmtId="0" fontId="2" fillId="0" borderId="3" xfId="4" applyFont="1" applyBorder="1" applyAlignment="1" applyProtection="1">
      <alignment horizontal="left" vertical="center"/>
      <protection locked="0"/>
    </xf>
    <xf numFmtId="0" fontId="2" fillId="0" borderId="4" xfId="4" applyFont="1" applyBorder="1" applyAlignment="1" applyProtection="1">
      <alignment horizontal="left" vertical="center"/>
      <protection locked="0"/>
    </xf>
    <xf numFmtId="0" fontId="2" fillId="0" borderId="5" xfId="4" applyFont="1" applyBorder="1" applyAlignment="1" applyProtection="1">
      <alignment horizontal="left" vertical="center"/>
      <protection locked="0"/>
    </xf>
    <xf numFmtId="14" fontId="2" fillId="0" borderId="3" xfId="4" applyNumberFormat="1" applyFont="1" applyBorder="1" applyAlignment="1" applyProtection="1">
      <alignment horizontal="left" vertical="center"/>
      <protection locked="0"/>
    </xf>
    <xf numFmtId="14" fontId="2" fillId="0" borderId="4" xfId="4" applyNumberFormat="1" applyFont="1" applyBorder="1" applyAlignment="1" applyProtection="1">
      <alignment horizontal="left" vertical="center"/>
      <protection locked="0"/>
    </xf>
    <xf numFmtId="14" fontId="2" fillId="0" borderId="5" xfId="4" applyNumberFormat="1" applyFont="1" applyBorder="1" applyAlignment="1" applyProtection="1">
      <alignment horizontal="left" vertical="center"/>
      <protection locked="0"/>
    </xf>
    <xf numFmtId="0" fontId="3" fillId="0" borderId="6" xfId="4" applyFont="1" applyBorder="1" applyAlignment="1">
      <alignment horizontal="center" vertical="center" wrapText="1"/>
    </xf>
    <xf numFmtId="0" fontId="3" fillId="0" borderId="7" xfId="4" applyFont="1" applyBorder="1" applyAlignment="1">
      <alignment horizontal="center" vertical="center" wrapText="1"/>
    </xf>
    <xf numFmtId="0" fontId="2" fillId="0" borderId="9" xfId="4" applyFont="1" applyBorder="1" applyAlignment="1">
      <alignment horizontal="center" vertical="center" wrapText="1"/>
    </xf>
    <xf numFmtId="0" fontId="2" fillId="0" borderId="12" xfId="4" applyFont="1" applyBorder="1" applyAlignment="1">
      <alignment horizontal="center" vertical="center" wrapText="1"/>
    </xf>
    <xf numFmtId="0" fontId="2" fillId="0" borderId="11" xfId="4" applyFont="1" applyBorder="1" applyAlignment="1">
      <alignment horizontal="center" vertical="center" wrapText="1"/>
    </xf>
    <xf numFmtId="0" fontId="2" fillId="0" borderId="6" xfId="4" applyFont="1" applyBorder="1" applyAlignment="1">
      <alignment horizontal="center" vertical="center" wrapText="1"/>
    </xf>
    <xf numFmtId="0" fontId="2" fillId="0" borderId="7" xfId="4" applyFont="1" applyBorder="1" applyAlignment="1">
      <alignment horizontal="center" vertical="center" wrapText="1"/>
    </xf>
    <xf numFmtId="0" fontId="2" fillId="0" borderId="12" xfId="4" applyFont="1" applyBorder="1" applyAlignment="1">
      <alignment horizontal="left" vertical="top" wrapText="1"/>
    </xf>
    <xf numFmtId="0" fontId="2" fillId="0" borderId="0" xfId="4" applyFont="1" applyAlignment="1">
      <alignment horizontal="left" vertical="top" wrapText="1"/>
    </xf>
    <xf numFmtId="0" fontId="2" fillId="0" borderId="13" xfId="4" applyFont="1" applyBorder="1" applyAlignment="1">
      <alignment horizontal="left" vertical="top" wrapText="1"/>
    </xf>
    <xf numFmtId="0" fontId="2" fillId="0" borderId="11" xfId="4" applyFont="1" applyBorder="1" applyAlignment="1">
      <alignment horizontal="left" vertical="top" wrapText="1"/>
    </xf>
    <xf numFmtId="0" fontId="2" fillId="0" borderId="2" xfId="4" applyFont="1" applyBorder="1" applyAlignment="1">
      <alignment horizontal="left" vertical="top" wrapText="1"/>
    </xf>
    <xf numFmtId="0" fontId="2" fillId="0" borderId="15" xfId="4" applyFont="1" applyBorder="1" applyAlignment="1">
      <alignment horizontal="left" vertical="top" wrapText="1"/>
    </xf>
    <xf numFmtId="0" fontId="2" fillId="0" borderId="18" xfId="0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7">
    <cellStyle name="一般" xfId="0" builtinId="0"/>
    <cellStyle name="一般 13" xfId="2" xr:uid="{00000000-0005-0000-0000-000031000000}"/>
    <cellStyle name="一般 2 2" xfId="3" xr:uid="{00000000-0005-0000-0000-000032000000}"/>
    <cellStyle name="一般 7" xfId="4" xr:uid="{00000000-0005-0000-0000-000033000000}"/>
    <cellStyle name="百分比" xfId="1" builtinId="5"/>
    <cellStyle name="百分比 3" xfId="5" xr:uid="{00000000-0005-0000-0000-000034000000}"/>
    <cellStyle name="貨幣 2" xfId="6" xr:uid="{00000000-0005-0000-0000-000035000000}"/>
  </cellStyles>
  <dxfs count="46"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0000FF"/>
      <color rgb="FF00FFFF"/>
      <color rgb="FFFFFFCC"/>
      <color rgb="FFFFCCFF"/>
      <color rgb="FFFF99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8870" cy="424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079A4F2-F1D8-400B-A41A-B11D8AB7D08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7455" cy="424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7E95ABB-25FF-4E4D-8E78-5D116D17C5E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7455" cy="4241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76AA938-6AE8-4386-8044-3BB5C28A821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7455" cy="4241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0C785CE-62FB-46AA-A2B2-A38D3A01FFD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7455" cy="4241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1</xdr:row>
      <xdr:rowOff>72375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9505" cy="4241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1</xdr:row>
      <xdr:rowOff>72375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9505" cy="4241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1</xdr:row>
      <xdr:rowOff>72375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9505" cy="4267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8870" cy="4241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1</xdr:row>
      <xdr:rowOff>72375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9505" cy="4241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1</xdr:row>
      <xdr:rowOff>72375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9505" cy="424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S17"/>
  <sheetViews>
    <sheetView showGridLines="0" zoomScale="40" zoomScaleNormal="40" workbookViewId="0">
      <selection activeCell="I35" sqref="I35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6" customWidth="1"/>
    <col min="12" max="12" width="50.625" style="16" customWidth="1"/>
    <col min="13" max="15" width="21.625" style="16" customWidth="1"/>
    <col min="16" max="16" width="30.625" style="16" hidden="1" customWidth="1"/>
    <col min="17" max="19" width="21.625" style="17" hidden="1" customWidth="1"/>
    <col min="20" max="22" width="30.625" style="17" customWidth="1"/>
    <col min="23" max="16384" width="9" style="17"/>
  </cols>
  <sheetData>
    <row r="1" spans="1:19" ht="27.75" customHeight="1">
      <c r="A1" s="233"/>
      <c r="B1" s="233"/>
      <c r="C1" s="233"/>
      <c r="D1" s="233"/>
      <c r="E1" s="233"/>
      <c r="F1" s="233"/>
      <c r="G1" s="233"/>
      <c r="H1" s="233"/>
      <c r="I1" s="233"/>
    </row>
    <row r="2" spans="1:19" ht="50.25">
      <c r="A2" s="234" t="s">
        <v>0</v>
      </c>
      <c r="B2" s="234"/>
      <c r="C2" s="234"/>
      <c r="D2" s="234"/>
      <c r="E2" s="234"/>
      <c r="F2" s="234"/>
      <c r="G2" s="234"/>
      <c r="H2" s="234"/>
      <c r="I2" s="234"/>
      <c r="J2" s="234"/>
    </row>
    <row r="3" spans="1:19" ht="35.1" customHeight="1">
      <c r="A3" s="18" t="s">
        <v>1</v>
      </c>
      <c r="B3" s="235" t="s">
        <v>147</v>
      </c>
      <c r="C3" s="236"/>
      <c r="D3" s="236"/>
      <c r="E3" s="236"/>
      <c r="F3" s="236"/>
      <c r="G3" s="236"/>
      <c r="H3" s="236"/>
      <c r="I3" s="236"/>
      <c r="J3" s="237"/>
    </row>
    <row r="4" spans="1:19" ht="35.1" customHeight="1">
      <c r="A4" s="18" t="s">
        <v>2</v>
      </c>
      <c r="B4" s="235"/>
      <c r="C4" s="236"/>
      <c r="D4" s="236"/>
      <c r="E4" s="236"/>
      <c r="F4" s="236"/>
      <c r="G4" s="236"/>
      <c r="H4" s="236"/>
      <c r="I4" s="236"/>
      <c r="J4" s="237"/>
    </row>
    <row r="5" spans="1:19" ht="35.1" customHeight="1">
      <c r="A5" s="18" t="s">
        <v>3</v>
      </c>
      <c r="B5" s="235"/>
      <c r="C5" s="236"/>
      <c r="D5" s="236"/>
      <c r="E5" s="236"/>
      <c r="F5" s="236"/>
      <c r="G5" s="236"/>
      <c r="H5" s="236"/>
      <c r="I5" s="236"/>
      <c r="J5" s="237"/>
      <c r="K5" s="19"/>
      <c r="L5" s="15"/>
      <c r="M5" s="138" t="s">
        <v>140</v>
      </c>
      <c r="N5" s="138"/>
      <c r="O5" s="138"/>
      <c r="P5" s="15"/>
    </row>
    <row r="6" spans="1:19" ht="35.1" customHeight="1">
      <c r="A6" s="46" t="s">
        <v>1</v>
      </c>
      <c r="B6" s="18" t="s">
        <v>234</v>
      </c>
      <c r="C6" s="47" t="s">
        <v>5</v>
      </c>
      <c r="D6" s="47" t="s">
        <v>6</v>
      </c>
      <c r="E6" s="238" t="s">
        <v>7</v>
      </c>
      <c r="F6" s="239"/>
      <c r="G6" s="240"/>
      <c r="H6" s="47" t="s">
        <v>8</v>
      </c>
      <c r="I6" s="48" t="s">
        <v>9</v>
      </c>
      <c r="J6" s="47" t="s">
        <v>10</v>
      </c>
      <c r="K6" s="1" t="s">
        <v>11</v>
      </c>
      <c r="L6" s="2" t="s">
        <v>13</v>
      </c>
      <c r="M6" s="47" t="s">
        <v>8</v>
      </c>
      <c r="N6" s="47" t="s">
        <v>9</v>
      </c>
      <c r="O6" s="47" t="s">
        <v>10</v>
      </c>
      <c r="P6" s="2" t="s">
        <v>12</v>
      </c>
      <c r="Q6" s="2" t="s">
        <v>14</v>
      </c>
      <c r="R6" s="2" t="s">
        <v>15</v>
      </c>
      <c r="S6" s="2" t="s">
        <v>105</v>
      </c>
    </row>
    <row r="7" spans="1:19" ht="60" customHeight="1">
      <c r="A7" s="241" t="s">
        <v>178</v>
      </c>
      <c r="B7" s="247" t="s">
        <v>188</v>
      </c>
      <c r="C7" s="20" t="s">
        <v>220</v>
      </c>
      <c r="D7" s="18" t="s">
        <v>16</v>
      </c>
      <c r="E7" s="23">
        <v>30</v>
      </c>
      <c r="F7" s="24" t="s">
        <v>17</v>
      </c>
      <c r="G7" s="25">
        <v>60</v>
      </c>
      <c r="H7" s="167"/>
      <c r="I7" s="3" t="str">
        <f>IF(H7="","",24.5*H7*F!$B$3)</f>
        <v/>
      </c>
      <c r="J7" s="18" t="str">
        <f>IF(I7="","",IF(OR(I7&lt;E7,I7&gt;G7),"NG","OK"))</f>
        <v/>
      </c>
      <c r="K7" s="2" t="str">
        <f>IF(I7="","",IF(I7&lt;R7,"添加",IF(I7&gt;S7,"更槽","")))</f>
        <v/>
      </c>
      <c r="L7" s="144" t="str">
        <f>IF(I7&lt;R7,"硫酸(50%)："&amp;ROUND(((R7-I7)*Q7/1000),1)&amp;" L","")</f>
        <v/>
      </c>
      <c r="M7" s="142"/>
      <c r="N7" s="79" t="str">
        <f>IF(M7="","",24.5*M7*F!$B$3)</f>
        <v/>
      </c>
      <c r="O7" s="18" t="str">
        <f>IF(N7="","",IF(OR(N7&lt;E7,N7&gt;G7),"NG","OK"))</f>
        <v/>
      </c>
      <c r="P7" s="2" t="s">
        <v>136</v>
      </c>
      <c r="Q7" s="2">
        <v>1000</v>
      </c>
      <c r="R7" s="2">
        <v>45</v>
      </c>
      <c r="S7" s="18">
        <v>60</v>
      </c>
    </row>
    <row r="8" spans="1:19" ht="60" customHeight="1">
      <c r="A8" s="242"/>
      <c r="B8" s="271"/>
      <c r="C8" s="92" t="s">
        <v>221</v>
      </c>
      <c r="D8" s="27" t="s">
        <v>18</v>
      </c>
      <c r="E8" s="28">
        <v>30</v>
      </c>
      <c r="F8" s="24" t="s">
        <v>17</v>
      </c>
      <c r="G8" s="29">
        <v>50</v>
      </c>
      <c r="H8" s="167"/>
      <c r="I8" s="3" t="str">
        <f>IF(H8="","",(11.905*H8*F!$B$10)/2)</f>
        <v/>
      </c>
      <c r="J8" s="18" t="str">
        <f t="shared" ref="J8:J10" si="0">IF(I8="","",IF(OR(I8&lt;E8,I8&gt;G8),"NG","OK"))</f>
        <v/>
      </c>
      <c r="K8" s="2" t="str">
        <f>IF(I8="","",IF(I8&lt;R8,"添加",IF(I8&gt;S8,"稀釋","")))</f>
        <v/>
      </c>
      <c r="L8" s="144" t="str">
        <f>IFERROR(IF(I8&lt;R8,"SPS："&amp;ROUND(((R8-I8)*Q8/1000),1)&amp;" L",IF(I8&gt;S8,"排藥："&amp;ROUND((I8-S8)/I8*Q8,1)&amp;" L"&amp;"
補水："&amp;ROUND((I8-S8)/I8*Q8,1)&amp;" L","")),"")</f>
        <v/>
      </c>
      <c r="M8" s="142"/>
      <c r="N8" s="79" t="str">
        <f>IF(M8="","",(11.905*M8*F!$B$10)/2)</f>
        <v/>
      </c>
      <c r="O8" s="18" t="str">
        <f t="shared" ref="O8:O10" si="1">IF(N8="","",IF(OR(N8&lt;E8,N8&gt;G8),"NG","OK"))</f>
        <v/>
      </c>
      <c r="P8" s="2" t="s">
        <v>117</v>
      </c>
      <c r="Q8" s="2">
        <v>1000</v>
      </c>
      <c r="R8" s="2">
        <v>40</v>
      </c>
      <c r="S8" s="18">
        <v>50</v>
      </c>
    </row>
    <row r="9" spans="1:19" ht="60" customHeight="1">
      <c r="A9" s="242"/>
      <c r="B9" s="247" t="s">
        <v>189</v>
      </c>
      <c r="C9" s="20" t="s">
        <v>220</v>
      </c>
      <c r="D9" s="18" t="s">
        <v>16</v>
      </c>
      <c r="E9" s="23">
        <v>30</v>
      </c>
      <c r="F9" s="24" t="s">
        <v>17</v>
      </c>
      <c r="G9" s="25">
        <v>60</v>
      </c>
      <c r="H9" s="167"/>
      <c r="I9" s="3" t="str">
        <f>IF(H9="","",24.5*H9*F!$B$3)</f>
        <v/>
      </c>
      <c r="J9" s="18" t="str">
        <f t="shared" si="0"/>
        <v/>
      </c>
      <c r="K9" s="2" t="str">
        <f t="shared" ref="K9:K10" si="2">IF(I9="","",IF(I9&lt;R9,"添加",IF(I9&gt;S9,"稀釋","")))</f>
        <v/>
      </c>
      <c r="L9" s="144" t="str">
        <f>IF(I9&lt;R9,"硫酸(50%)："&amp;ROUND(((R9-I9)*Q9/1000),1)&amp;" L","")</f>
        <v/>
      </c>
      <c r="M9" s="142"/>
      <c r="N9" s="79" t="str">
        <f>IF(M9="","",24.5*M9*F!$B$3)</f>
        <v/>
      </c>
      <c r="O9" s="18" t="str">
        <f t="shared" si="1"/>
        <v/>
      </c>
      <c r="P9" s="2" t="s">
        <v>136</v>
      </c>
      <c r="Q9" s="2">
        <v>1000</v>
      </c>
      <c r="R9" s="2">
        <v>45</v>
      </c>
      <c r="S9" s="18">
        <v>60</v>
      </c>
    </row>
    <row r="10" spans="1:19" ht="60" customHeight="1">
      <c r="A10" s="242"/>
      <c r="B10" s="271"/>
      <c r="C10" s="92" t="s">
        <v>221</v>
      </c>
      <c r="D10" s="27" t="s">
        <v>18</v>
      </c>
      <c r="E10" s="23">
        <v>30</v>
      </c>
      <c r="F10" s="24" t="s">
        <v>17</v>
      </c>
      <c r="G10" s="25">
        <v>50</v>
      </c>
      <c r="H10" s="167"/>
      <c r="I10" s="3" t="str">
        <f>IF(H10="","",(11.905*H10*F!$B$10)/2)</f>
        <v/>
      </c>
      <c r="J10" s="18" t="str">
        <f t="shared" si="0"/>
        <v/>
      </c>
      <c r="K10" s="2" t="str">
        <f t="shared" si="2"/>
        <v/>
      </c>
      <c r="L10" s="144" t="str">
        <f>IFERROR(IF(I10&lt;R10,"SPS："&amp;ROUND(((R10-I10)*Q10/1000),1)&amp;" L",IF(I10&gt;S10,"排藥："&amp;ROUND((I10-S10)/I10*Q10,1)&amp;" L"&amp;"
補水："&amp;ROUND((I10-S10)/I10*Q10,1)&amp;" L","")),"")</f>
        <v/>
      </c>
      <c r="M10" s="142"/>
      <c r="N10" s="79" t="str">
        <f>IF(M10="","",(11.905*M10*F!$B$10)/2)</f>
        <v/>
      </c>
      <c r="O10" s="18" t="str">
        <f t="shared" si="1"/>
        <v/>
      </c>
      <c r="P10" s="2" t="s">
        <v>117</v>
      </c>
      <c r="Q10" s="2">
        <v>1000</v>
      </c>
      <c r="R10" s="2">
        <v>40</v>
      </c>
      <c r="S10" s="22">
        <v>50</v>
      </c>
    </row>
    <row r="11" spans="1:19" ht="18" customHeight="1">
      <c r="A11" s="33" t="s">
        <v>19</v>
      </c>
      <c r="B11" s="34"/>
      <c r="C11" s="34"/>
      <c r="D11" s="34"/>
      <c r="E11" s="34"/>
      <c r="F11" s="34"/>
      <c r="G11" s="34"/>
      <c r="H11" s="34"/>
      <c r="I11" s="34" t="s">
        <v>20</v>
      </c>
      <c r="J11" s="35"/>
    </row>
    <row r="12" spans="1:19" ht="18" customHeight="1">
      <c r="A12" s="19"/>
      <c r="B12" s="15"/>
      <c r="D12" s="15"/>
      <c r="E12" s="15"/>
      <c r="F12" s="15"/>
      <c r="G12" s="15"/>
      <c r="H12" s="15"/>
      <c r="I12" s="15"/>
      <c r="J12" s="36"/>
    </row>
    <row r="13" spans="1:19" ht="18" customHeight="1">
      <c r="A13" s="272"/>
      <c r="B13" s="273"/>
      <c r="C13" s="274"/>
      <c r="D13" s="274"/>
      <c r="E13" s="274"/>
      <c r="F13" s="274"/>
      <c r="G13" s="274"/>
      <c r="H13" s="274"/>
      <c r="I13" s="274"/>
      <c r="J13" s="275"/>
    </row>
    <row r="14" spans="1:19" s="16" customFormat="1" ht="18" customHeight="1">
      <c r="A14" s="276"/>
      <c r="B14" s="277"/>
      <c r="C14" s="277"/>
      <c r="D14" s="277"/>
      <c r="E14" s="277"/>
      <c r="F14" s="277"/>
      <c r="G14" s="277"/>
      <c r="H14" s="277"/>
      <c r="I14" s="277"/>
      <c r="J14" s="278"/>
    </row>
    <row r="15" spans="1:19" s="16" customFormat="1" ht="18" customHeight="1">
      <c r="A15" s="37" t="s">
        <v>21</v>
      </c>
      <c r="B15" s="14"/>
      <c r="C15" s="38" t="s">
        <v>22</v>
      </c>
      <c r="D15" s="14"/>
      <c r="E15" s="14"/>
      <c r="F15" s="14"/>
      <c r="G15" s="14"/>
      <c r="H15" s="38" t="s">
        <v>23</v>
      </c>
      <c r="I15" s="14"/>
      <c r="J15" s="15"/>
    </row>
    <row r="16" spans="1:19" s="16" customFormat="1" ht="18" customHeight="1">
      <c r="A16" s="14"/>
      <c r="B16" s="14"/>
      <c r="C16" s="15"/>
      <c r="D16" s="14"/>
      <c r="E16" s="14"/>
      <c r="F16" s="14"/>
      <c r="G16" s="14"/>
      <c r="H16" s="14"/>
      <c r="I16" s="14"/>
      <c r="J16" s="15"/>
    </row>
    <row r="17" spans="1:10" s="16" customFormat="1" ht="18" customHeight="1">
      <c r="A17" s="14"/>
      <c r="B17" s="14"/>
      <c r="C17" s="15"/>
      <c r="D17" s="14"/>
      <c r="E17" s="14"/>
      <c r="F17" s="14"/>
      <c r="G17" s="14"/>
      <c r="H17" s="14"/>
      <c r="I17" s="14"/>
      <c r="J17" s="15"/>
    </row>
  </sheetData>
  <sheetProtection algorithmName="SHA-512" hashValue="LYbYTJI6DqIYa8j24v9AZrhmG+9ErCJKPUFPdnufQ4WtEj5vgvvwh2ENmAQKEHCPeiwEsOyBlDD9/YjV+Cp5Kw==" saltValue="X3gfnrlu+r3nwL4BmnO6zg==" spinCount="100000" sheet="1" objects="1" scenarios="1"/>
  <mergeCells count="10">
    <mergeCell ref="E6:G6"/>
    <mergeCell ref="A7:A10"/>
    <mergeCell ref="B7:B8"/>
    <mergeCell ref="B9:B10"/>
    <mergeCell ref="A13:J14"/>
    <mergeCell ref="A1:I1"/>
    <mergeCell ref="A2:J2"/>
    <mergeCell ref="B3:J3"/>
    <mergeCell ref="B4:J4"/>
    <mergeCell ref="B5:J5"/>
  </mergeCells>
  <phoneticPr fontId="17" type="noConversion"/>
  <conditionalFormatting sqref="J7:J10">
    <cfRule type="containsText" dxfId="45" priority="3" operator="containsText" text="NG">
      <formula>NOT(ISERROR(SEARCH("NG",J7)))</formula>
    </cfRule>
  </conditionalFormatting>
  <conditionalFormatting sqref="O7:O10">
    <cfRule type="containsText" dxfId="44" priority="1" operator="containsText" text="NG">
      <formula>NOT(ISERROR(SEARCH("NG",O7)))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3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AD3D-6017-4506-A133-15E5E76A9519}">
  <sheetPr>
    <tabColor rgb="FF00FFFF"/>
    <pageSetUpPr fitToPage="1"/>
  </sheetPr>
  <dimension ref="A1:X27"/>
  <sheetViews>
    <sheetView showGridLines="0" zoomScale="40" zoomScaleNormal="40" workbookViewId="0">
      <selection activeCell="Q29" sqref="Q29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11.125" style="14" customWidth="1"/>
    <col min="10" max="11" width="21.625" style="14" customWidth="1"/>
    <col min="12" max="12" width="21.625" style="91" customWidth="1"/>
    <col min="13" max="13" width="50.625" style="91" customWidth="1"/>
    <col min="14" max="15" width="11.125" style="91" customWidth="1"/>
    <col min="16" max="17" width="21.625" style="91" customWidth="1"/>
    <col min="18" max="18" width="30.625" style="91" hidden="1" customWidth="1"/>
    <col min="19" max="20" width="21.625" style="91" hidden="1" customWidth="1"/>
    <col min="21" max="21" width="21.625" style="17" hidden="1" customWidth="1"/>
    <col min="22" max="22" width="30.625" style="15" customWidth="1"/>
    <col min="23" max="24" width="30.625" style="17" customWidth="1"/>
    <col min="25" max="16384" width="9" style="17"/>
  </cols>
  <sheetData>
    <row r="1" spans="1:24" ht="27.75" customHeight="1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24" ht="50.25">
      <c r="A2" s="234" t="s">
        <v>0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</row>
    <row r="3" spans="1:24" ht="35.1" customHeight="1">
      <c r="A3" s="18" t="s">
        <v>1</v>
      </c>
      <c r="B3" s="279" t="s">
        <v>164</v>
      </c>
      <c r="C3" s="279"/>
      <c r="D3" s="279"/>
      <c r="E3" s="279"/>
      <c r="F3" s="279"/>
      <c r="G3" s="279"/>
      <c r="H3" s="279"/>
      <c r="I3" s="279"/>
      <c r="J3" s="279"/>
      <c r="K3" s="279"/>
    </row>
    <row r="4" spans="1:24" ht="35.1" customHeight="1">
      <c r="A4" s="18" t="s">
        <v>2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</row>
    <row r="5" spans="1:24" ht="35.1" customHeight="1">
      <c r="A5" s="18" t="s">
        <v>3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17"/>
      <c r="M5" s="17"/>
      <c r="N5" s="138" t="s">
        <v>140</v>
      </c>
      <c r="O5" s="139"/>
      <c r="P5" s="139"/>
      <c r="Q5" s="139"/>
      <c r="R5" s="17"/>
      <c r="S5" s="17"/>
      <c r="T5" s="17"/>
      <c r="V5" s="261" t="s">
        <v>158</v>
      </c>
      <c r="W5" s="261"/>
      <c r="X5" s="261"/>
    </row>
    <row r="6" spans="1:24" ht="35.1" customHeight="1">
      <c r="A6" s="18" t="s">
        <v>1</v>
      </c>
      <c r="B6" s="18" t="s">
        <v>234</v>
      </c>
      <c r="C6" s="20" t="s">
        <v>5</v>
      </c>
      <c r="D6" s="20" t="s">
        <v>6</v>
      </c>
      <c r="E6" s="281" t="s">
        <v>7</v>
      </c>
      <c r="F6" s="281"/>
      <c r="G6" s="281"/>
      <c r="H6" s="282" t="s">
        <v>8</v>
      </c>
      <c r="I6" s="283"/>
      <c r="J6" s="20" t="s">
        <v>9</v>
      </c>
      <c r="K6" s="20" t="s">
        <v>10</v>
      </c>
      <c r="L6" s="1" t="s">
        <v>11</v>
      </c>
      <c r="M6" s="2" t="s">
        <v>13</v>
      </c>
      <c r="N6" s="282" t="s">
        <v>8</v>
      </c>
      <c r="O6" s="283"/>
      <c r="P6" s="20" t="s">
        <v>9</v>
      </c>
      <c r="Q6" s="47" t="s">
        <v>10</v>
      </c>
      <c r="R6" s="2" t="s">
        <v>12</v>
      </c>
      <c r="S6" s="2" t="s">
        <v>14</v>
      </c>
      <c r="T6" s="2" t="s">
        <v>15</v>
      </c>
      <c r="U6" s="131" t="s">
        <v>105</v>
      </c>
      <c r="V6" s="161" t="s">
        <v>159</v>
      </c>
      <c r="W6" s="161" t="s">
        <v>160</v>
      </c>
      <c r="X6" s="161" t="s">
        <v>161</v>
      </c>
    </row>
    <row r="7" spans="1:24" ht="60" customHeight="1">
      <c r="A7" s="241" t="s">
        <v>177</v>
      </c>
      <c r="B7" s="281" t="s">
        <v>191</v>
      </c>
      <c r="C7" s="20" t="s">
        <v>222</v>
      </c>
      <c r="D7" s="18" t="s">
        <v>24</v>
      </c>
      <c r="E7" s="23">
        <v>18</v>
      </c>
      <c r="F7" s="24" t="s">
        <v>17</v>
      </c>
      <c r="G7" s="25">
        <v>22</v>
      </c>
      <c r="H7" s="284"/>
      <c r="I7" s="285"/>
      <c r="J7" s="124" t="str">
        <f>IF(H7="","",(1.12*H7*F!$B$4)*2)</f>
        <v/>
      </c>
      <c r="K7" s="25" t="str">
        <f>IF(J7="","",IF(OR(J7&lt;E7,J7&gt;G7),"NG","OK"))</f>
        <v/>
      </c>
      <c r="L7" s="2" t="str">
        <f>IF(J7="","",IF(J7&lt;T7,"添加",IF(J7&gt;U7,"稀釋","")))</f>
        <v/>
      </c>
      <c r="M7" s="144" t="str">
        <f>IFERROR(IF(J7&lt;T7,"KOH："&amp;ROUND(((T7-J7)*S7/0.6525/1000),1)&amp;" L",IF(J7&gt;U7,"排藥："&amp;ROUND((J7-U7)/J7*S7,1)&amp;" L"&amp;"
補水："&amp;ROUND((J7-U7)/J7*S7,1)&amp;" L","")),"")</f>
        <v/>
      </c>
      <c r="N7" s="286"/>
      <c r="O7" s="287"/>
      <c r="P7" s="124" t="str">
        <f>IF(N7="","",(1.12*N7*F!$B$4)*2)</f>
        <v/>
      </c>
      <c r="Q7" s="18" t="str">
        <f>IF(P7="","",IF(OR(P7&lt;E7,P7&gt;G7),"NG","OK"))</f>
        <v/>
      </c>
      <c r="R7" s="4" t="s">
        <v>107</v>
      </c>
      <c r="S7" s="2">
        <v>600</v>
      </c>
      <c r="T7" s="2">
        <v>20</v>
      </c>
      <c r="U7" s="18">
        <v>22</v>
      </c>
    </row>
    <row r="8" spans="1:24" ht="60" customHeight="1">
      <c r="A8" s="242"/>
      <c r="B8" s="281"/>
      <c r="C8" s="197" t="s">
        <v>190</v>
      </c>
      <c r="D8" s="198" t="s">
        <v>25</v>
      </c>
      <c r="E8" s="199">
        <v>7</v>
      </c>
      <c r="F8" s="193" t="s">
        <v>17</v>
      </c>
      <c r="G8" s="200">
        <v>9</v>
      </c>
      <c r="H8" s="288" t="s">
        <v>28</v>
      </c>
      <c r="I8" s="289"/>
      <c r="J8" s="125"/>
      <c r="K8" s="25" t="str">
        <f t="shared" ref="K8:K20" si="0">IF(J8="","",IF(OR(J8&lt;E8,J8&gt;G8),"NG","OK"))</f>
        <v/>
      </c>
      <c r="L8" s="22" t="str">
        <f>IF(J8="","",IF(J8&gt;U8,"更槽",""))</f>
        <v/>
      </c>
      <c r="M8" s="144"/>
      <c r="N8" s="288" t="s">
        <v>28</v>
      </c>
      <c r="O8" s="289"/>
      <c r="P8" s="125"/>
      <c r="Q8" s="18" t="str">
        <f t="shared" ref="Q8:Q20" si="1">IF(P8="","",IF(OR(P8&lt;E8,P8&gt;G8),"NG","OK"))</f>
        <v/>
      </c>
      <c r="R8" s="2" t="s">
        <v>106</v>
      </c>
      <c r="S8" s="2">
        <v>600</v>
      </c>
      <c r="T8" s="2" t="s">
        <v>73</v>
      </c>
      <c r="U8" s="18" t="s">
        <v>73</v>
      </c>
      <c r="V8" s="14" t="s">
        <v>183</v>
      </c>
      <c r="W8" s="160">
        <v>46204</v>
      </c>
      <c r="X8" s="160">
        <v>46295</v>
      </c>
    </row>
    <row r="9" spans="1:24" ht="60" customHeight="1">
      <c r="A9" s="242"/>
      <c r="B9" s="281"/>
      <c r="C9" s="192" t="s">
        <v>26</v>
      </c>
      <c r="D9" s="198" t="s">
        <v>27</v>
      </c>
      <c r="E9" s="199">
        <v>12.8</v>
      </c>
      <c r="F9" s="193" t="s">
        <v>17</v>
      </c>
      <c r="G9" s="200">
        <v>13.8</v>
      </c>
      <c r="H9" s="288" t="s">
        <v>28</v>
      </c>
      <c r="I9" s="289"/>
      <c r="J9" s="125"/>
      <c r="K9" s="25" t="str">
        <f t="shared" si="0"/>
        <v/>
      </c>
      <c r="L9" s="22" t="str">
        <f>IF(J9="","",IF(J9&gt;U9,"更槽",""))</f>
        <v/>
      </c>
      <c r="M9" s="144"/>
      <c r="N9" s="288" t="s">
        <v>28</v>
      </c>
      <c r="O9" s="289"/>
      <c r="P9" s="125"/>
      <c r="Q9" s="18" t="str">
        <f t="shared" si="1"/>
        <v/>
      </c>
      <c r="R9" s="2" t="s">
        <v>106</v>
      </c>
      <c r="S9" s="2">
        <v>600</v>
      </c>
      <c r="T9" s="2" t="s">
        <v>73</v>
      </c>
      <c r="U9" s="18" t="s">
        <v>73</v>
      </c>
      <c r="V9" s="14" t="s">
        <v>183</v>
      </c>
      <c r="W9" s="160">
        <v>46204</v>
      </c>
      <c r="X9" s="160">
        <v>46295</v>
      </c>
    </row>
    <row r="10" spans="1:24" ht="60" customHeight="1">
      <c r="A10" s="242"/>
      <c r="B10" s="281" t="s">
        <v>39</v>
      </c>
      <c r="C10" s="26" t="s">
        <v>29</v>
      </c>
      <c r="D10" s="27" t="s">
        <v>30</v>
      </c>
      <c r="E10" s="28">
        <v>135</v>
      </c>
      <c r="F10" s="24" t="s">
        <v>17</v>
      </c>
      <c r="G10" s="29">
        <v>165</v>
      </c>
      <c r="H10" s="290"/>
      <c r="I10" s="291"/>
      <c r="J10" s="121" t="str">
        <f>IF(H10="","",(11.94*H10*F!$B$8))</f>
        <v/>
      </c>
      <c r="K10" s="25" t="str">
        <f t="shared" si="0"/>
        <v/>
      </c>
      <c r="L10" s="2" t="str">
        <f>IF(J10="","",IF(J10&lt;T10,"添加",IF(J10&gt;U10,"稀釋","")))</f>
        <v/>
      </c>
      <c r="M10" s="144" t="str">
        <f>IFERROR(IF(J10&lt;T10,"P200："&amp;ROUND(((T10-J10)*S10/1000),1)&amp;" L",IF(J10&gt;U10,"排藥："&amp;ROUND((J10-U10)/J10*S10,1)&amp;" L"&amp;"
補水："&amp;ROUND((J10-U10)/J10*S10,1)&amp;" L","")),"")</f>
        <v/>
      </c>
      <c r="N10" s="292"/>
      <c r="O10" s="293"/>
      <c r="P10" s="121" t="str">
        <f>IF(N10="","",(11.94*N10*F!$B$8))</f>
        <v/>
      </c>
      <c r="Q10" s="18" t="str">
        <f t="shared" si="1"/>
        <v/>
      </c>
      <c r="R10" s="4" t="s">
        <v>112</v>
      </c>
      <c r="S10" s="2">
        <v>500</v>
      </c>
      <c r="T10" s="2">
        <v>150</v>
      </c>
      <c r="U10" s="18">
        <v>165</v>
      </c>
    </row>
    <row r="11" spans="1:24" ht="60" customHeight="1">
      <c r="A11" s="242"/>
      <c r="B11" s="281"/>
      <c r="C11" s="18" t="s">
        <v>26</v>
      </c>
      <c r="D11" s="27" t="s">
        <v>40</v>
      </c>
      <c r="E11" s="28">
        <v>9.5</v>
      </c>
      <c r="F11" s="24" t="s">
        <v>17</v>
      </c>
      <c r="G11" s="29">
        <v>11</v>
      </c>
      <c r="H11" s="288" t="s">
        <v>28</v>
      </c>
      <c r="I11" s="289"/>
      <c r="J11" s="125"/>
      <c r="K11" s="25" t="str">
        <f t="shared" si="0"/>
        <v/>
      </c>
      <c r="L11" s="22" t="str">
        <f>IF(J11="","",IF(J11&gt;U11,"更槽",""))</f>
        <v/>
      </c>
      <c r="M11" s="144"/>
      <c r="N11" s="288" t="s">
        <v>28</v>
      </c>
      <c r="O11" s="289"/>
      <c r="P11" s="125"/>
      <c r="Q11" s="18" t="str">
        <f t="shared" si="1"/>
        <v/>
      </c>
      <c r="R11" s="2" t="s">
        <v>106</v>
      </c>
      <c r="S11" s="2">
        <v>500</v>
      </c>
      <c r="T11" s="2" t="s">
        <v>73</v>
      </c>
      <c r="U11" s="18" t="s">
        <v>73</v>
      </c>
    </row>
    <row r="12" spans="1:24" ht="60" customHeight="1">
      <c r="A12" s="242"/>
      <c r="B12" s="20" t="s">
        <v>41</v>
      </c>
      <c r="C12" s="26" t="s">
        <v>42</v>
      </c>
      <c r="D12" s="27" t="s">
        <v>43</v>
      </c>
      <c r="E12" s="28">
        <v>240</v>
      </c>
      <c r="F12" s="24" t="s">
        <v>17</v>
      </c>
      <c r="G12" s="29">
        <v>280</v>
      </c>
      <c r="H12" s="290"/>
      <c r="I12" s="291"/>
      <c r="J12" s="121" t="str">
        <f>IF(H12="","",42.14*H12*F!$B$3)</f>
        <v/>
      </c>
      <c r="K12" s="25" t="str">
        <f t="shared" si="0"/>
        <v/>
      </c>
      <c r="L12" s="2" t="str">
        <f>IF(J12&gt;T12,"","添加")</f>
        <v/>
      </c>
      <c r="M12" s="145" t="str">
        <f>IFERROR(IF(J12&lt;T12,"P300："&amp;ROUND(((T12-J12)*S12/1000),1)&amp;" L",IF(J12&gt;U12,"排藥："&amp;ROUND((J12-U12)/J12*S12,1)&amp;" L"&amp;"
補水："&amp;ROUND((J12-U12)/J12*S12,1)&amp;" L","")),"")</f>
        <v/>
      </c>
      <c r="N12" s="292"/>
      <c r="O12" s="293"/>
      <c r="P12" s="121" t="str">
        <f>IF(N12="","",42.14*N12*F!$B$3)</f>
        <v/>
      </c>
      <c r="Q12" s="18" t="str">
        <f t="shared" si="1"/>
        <v/>
      </c>
      <c r="R12" s="4" t="s">
        <v>130</v>
      </c>
      <c r="S12" s="2">
        <v>230</v>
      </c>
      <c r="T12" s="2">
        <v>260</v>
      </c>
      <c r="U12" s="18">
        <v>280</v>
      </c>
    </row>
    <row r="13" spans="1:24" ht="60" customHeight="1">
      <c r="A13" s="242"/>
      <c r="B13" s="281" t="s">
        <v>44</v>
      </c>
      <c r="C13" s="26" t="s">
        <v>45</v>
      </c>
      <c r="D13" s="27" t="s">
        <v>46</v>
      </c>
      <c r="E13" s="28">
        <v>30</v>
      </c>
      <c r="F13" s="24" t="s">
        <v>17</v>
      </c>
      <c r="G13" s="127">
        <v>999</v>
      </c>
      <c r="H13" s="290"/>
      <c r="I13" s="291"/>
      <c r="J13" s="121" t="str">
        <f>IF(H13="","",(H13*195.7)+1.7752)</f>
        <v/>
      </c>
      <c r="K13" s="25" t="str">
        <f t="shared" si="0"/>
        <v/>
      </c>
      <c r="L13" s="2" t="str">
        <f>IF(J13="","",IF(J13&lt;T13,"添加",IF(J13&gt;U13,"稀釋","")))</f>
        <v/>
      </c>
      <c r="M13" s="144" t="str">
        <f>IFERROR(IF(J13&lt;T13,"P400："&amp;ROUND(((T13-J13)*S13/1000),1)&amp;" L",IF(J13&gt;U13,"排藥："&amp;ROUND((J13-U13)/J13*S13,1)&amp;" L"&amp;"
補水："&amp;ROUND((J13-U13)/J13*S13,1)&amp;" L","")),"")</f>
        <v/>
      </c>
      <c r="N13" s="292"/>
      <c r="O13" s="293"/>
      <c r="P13" s="121" t="str">
        <f>IF(N13="","",(N13*195.7)+1.7752)</f>
        <v/>
      </c>
      <c r="Q13" s="18" t="str">
        <f t="shared" si="1"/>
        <v/>
      </c>
      <c r="R13" s="4" t="s">
        <v>108</v>
      </c>
      <c r="S13" s="2">
        <v>380</v>
      </c>
      <c r="T13" s="2">
        <v>31</v>
      </c>
      <c r="U13" s="18" t="s">
        <v>73</v>
      </c>
    </row>
    <row r="14" spans="1:24" ht="60" customHeight="1">
      <c r="A14" s="242"/>
      <c r="B14" s="281"/>
      <c r="C14" s="92" t="s">
        <v>225</v>
      </c>
      <c r="D14" s="27" t="s">
        <v>47</v>
      </c>
      <c r="E14" s="28">
        <v>5</v>
      </c>
      <c r="F14" s="24" t="s">
        <v>17</v>
      </c>
      <c r="G14" s="29">
        <v>25</v>
      </c>
      <c r="H14" s="290"/>
      <c r="I14" s="291"/>
      <c r="J14" s="121" t="str">
        <f>IF(H14="","",2.256*H14*F!$B$9)</f>
        <v/>
      </c>
      <c r="K14" s="25" t="str">
        <f t="shared" si="0"/>
        <v/>
      </c>
      <c r="L14" s="2" t="str">
        <f t="shared" ref="L14:L15" si="2">IF(J14="","",IF(J14&lt;T14,"添加",IF(J14&gt;U14,"稀釋","")))</f>
        <v/>
      </c>
      <c r="M14" s="144" t="str">
        <f>IFERROR(IF(J14&lt;T14,"安定劑："&amp;ROUND(((T14-J14)*S14/1000),1)&amp;" L",IF(J14&gt;U14,"排藥："&amp;ROUND((J14-U14)/J14*S14,1)&amp;" L"&amp;"
補水："&amp;ROUND((J14-U14)/J14*S14,1)&amp;" L","")),"")</f>
        <v/>
      </c>
      <c r="N14" s="292"/>
      <c r="O14" s="293"/>
      <c r="P14" s="121" t="str">
        <f>IF(N14="","",2.256*N14*F!$B$9)</f>
        <v/>
      </c>
      <c r="Q14" s="18" t="str">
        <f t="shared" si="1"/>
        <v/>
      </c>
      <c r="R14" s="2" t="s">
        <v>109</v>
      </c>
      <c r="S14" s="2">
        <v>380</v>
      </c>
      <c r="T14" s="2">
        <v>5</v>
      </c>
      <c r="U14" s="18" t="s">
        <v>73</v>
      </c>
    </row>
    <row r="15" spans="1:24" ht="60" customHeight="1">
      <c r="A15" s="242"/>
      <c r="B15" s="281" t="s">
        <v>31</v>
      </c>
      <c r="C15" s="26" t="s">
        <v>32</v>
      </c>
      <c r="D15" s="27" t="s">
        <v>33</v>
      </c>
      <c r="E15" s="28">
        <v>90</v>
      </c>
      <c r="F15" s="24" t="s">
        <v>17</v>
      </c>
      <c r="G15" s="29">
        <v>110</v>
      </c>
      <c r="H15" s="290"/>
      <c r="I15" s="291"/>
      <c r="J15" s="121" t="str">
        <f>IF(H15="","",7.24*H15*F!$B$3)</f>
        <v/>
      </c>
      <c r="K15" s="25" t="str">
        <f t="shared" si="0"/>
        <v/>
      </c>
      <c r="L15" s="2" t="str">
        <f t="shared" si="2"/>
        <v/>
      </c>
      <c r="M15" s="144" t="str">
        <f>IFERROR(IF(J15&lt;T15,"P500A："&amp;ROUND(((T15-J15)*S15/1000),1)&amp;" L",IF(J15&gt;U15,"排藥："&amp;ROUND((J15-U15)/J15*S15,1)&amp;" L"&amp;"
補水："&amp;ROUND((J15-U15)/J15*S15,1)&amp;" L","")),"")</f>
        <v/>
      </c>
      <c r="N15" s="292"/>
      <c r="O15" s="293"/>
      <c r="P15" s="121" t="str">
        <f>IF(N15="","",7.24*N15*F!$B$3)</f>
        <v/>
      </c>
      <c r="Q15" s="18" t="str">
        <f t="shared" si="1"/>
        <v/>
      </c>
      <c r="R15" s="4" t="s">
        <v>128</v>
      </c>
      <c r="S15" s="2">
        <v>600</v>
      </c>
      <c r="T15" s="2">
        <v>100</v>
      </c>
      <c r="U15" s="18">
        <v>110</v>
      </c>
    </row>
    <row r="16" spans="1:24" ht="60" customHeight="1">
      <c r="A16" s="242"/>
      <c r="B16" s="281"/>
      <c r="C16" s="92" t="s">
        <v>225</v>
      </c>
      <c r="D16" s="26" t="s">
        <v>34</v>
      </c>
      <c r="E16" s="120">
        <v>0</v>
      </c>
      <c r="F16" s="24" t="s">
        <v>17</v>
      </c>
      <c r="G16" s="29">
        <v>0.3</v>
      </c>
      <c r="H16" s="290"/>
      <c r="I16" s="291"/>
      <c r="J16" s="121" t="str">
        <f>IF(H16="","",2.256*H16*F!$B$9)</f>
        <v/>
      </c>
      <c r="K16" s="25" t="str">
        <f t="shared" si="0"/>
        <v/>
      </c>
      <c r="L16" s="22" t="str">
        <f>IF(J16="","",IF(J16&gt;U16,"更槽",""))</f>
        <v/>
      </c>
      <c r="M16" s="144"/>
      <c r="N16" s="292"/>
      <c r="O16" s="293"/>
      <c r="P16" s="121" t="str">
        <f>IF(N16="","",2.256*N16*F!$B$9)</f>
        <v/>
      </c>
      <c r="Q16" s="18" t="str">
        <f t="shared" si="1"/>
        <v/>
      </c>
      <c r="R16" s="4" t="s">
        <v>129</v>
      </c>
      <c r="S16" s="2">
        <v>600</v>
      </c>
      <c r="T16" s="2" t="s">
        <v>73</v>
      </c>
      <c r="U16" s="18" t="s">
        <v>73</v>
      </c>
    </row>
    <row r="17" spans="1:22" ht="60" customHeight="1">
      <c r="A17" s="242"/>
      <c r="B17" s="281" t="s">
        <v>48</v>
      </c>
      <c r="C17" s="92" t="s">
        <v>223</v>
      </c>
      <c r="D17" s="27" t="s">
        <v>35</v>
      </c>
      <c r="E17" s="28">
        <v>4.5999999999999996</v>
      </c>
      <c r="F17" s="24" t="s">
        <v>17</v>
      </c>
      <c r="G17" s="29">
        <v>5</v>
      </c>
      <c r="H17" s="290"/>
      <c r="I17" s="291"/>
      <c r="J17" s="121" t="str">
        <f>IF(H17="","",0.59*H17*F!$B$6)</f>
        <v/>
      </c>
      <c r="K17" s="25" t="str">
        <f t="shared" si="0"/>
        <v/>
      </c>
      <c r="L17" s="2" t="str">
        <f t="shared" ref="L17:L18" si="3">IF(J17="","",IF(J17&lt;T17,"添加",IF(J17&gt;U17,"稀釋","")))</f>
        <v/>
      </c>
      <c r="M17" s="144" t="str">
        <f>IFERROR(IF(J17&lt;T17,"A劑："&amp;ROUND(((T17-J17)*S17*9.2/1000),1)&amp;" L",IF(J17&gt;U17,"排藥："&amp;ROUND((J17-U17)/J17*S17,1)&amp;" L"&amp;"
補水："&amp;ROUND((J17-U17)/J17*S17,1)&amp;" L","")),"")</f>
        <v/>
      </c>
      <c r="N17" s="292"/>
      <c r="O17" s="293"/>
      <c r="P17" s="121" t="str">
        <f>IF(N17="","",0.59*N17*F!$B$6)</f>
        <v/>
      </c>
      <c r="Q17" s="18" t="str">
        <f t="shared" si="1"/>
        <v/>
      </c>
      <c r="R17" s="4" t="s">
        <v>113</v>
      </c>
      <c r="S17" s="2">
        <v>900</v>
      </c>
      <c r="T17" s="2">
        <v>4.8</v>
      </c>
      <c r="U17" s="18">
        <v>5</v>
      </c>
    </row>
    <row r="18" spans="1:22" ht="60" customHeight="1">
      <c r="A18" s="242"/>
      <c r="B18" s="281"/>
      <c r="C18" s="92" t="s">
        <v>226</v>
      </c>
      <c r="D18" s="26" t="s">
        <v>37</v>
      </c>
      <c r="E18" s="224">
        <v>0</v>
      </c>
      <c r="F18" s="24" t="s">
        <v>17</v>
      </c>
      <c r="G18" s="25">
        <v>100</v>
      </c>
      <c r="H18" s="170"/>
      <c r="I18" s="137"/>
      <c r="J18" s="121" t="str">
        <f>IF(I18="","",(H18-I18)*10.08)</f>
        <v/>
      </c>
      <c r="K18" s="25" t="str">
        <f t="shared" si="0"/>
        <v/>
      </c>
      <c r="L18" s="2" t="str">
        <f t="shared" si="3"/>
        <v/>
      </c>
      <c r="M18" s="144" t="str">
        <f>IF(J18&lt;T18,"A劑："&amp;ROUND(((T18-J18)*S18*1.62/1000),1)&amp;" L",IF(J18&gt;U18,"排藥："&amp;ROUND((J18-U18)/J18*S18,1)&amp;" L"&amp;"
補水："&amp;ROUND((J18-U18)/J18*S18,1)&amp;" L",""))</f>
        <v/>
      </c>
      <c r="N18" s="141"/>
      <c r="O18" s="99"/>
      <c r="P18" s="121" t="str">
        <f>IF(O18="","",(N18-O18)*10.08)</f>
        <v/>
      </c>
      <c r="Q18" s="18" t="str">
        <f t="shared" si="1"/>
        <v/>
      </c>
      <c r="R18" s="4" t="s">
        <v>110</v>
      </c>
      <c r="S18" s="2">
        <v>900</v>
      </c>
      <c r="T18" s="2">
        <v>18.5</v>
      </c>
      <c r="U18" s="18" t="s">
        <v>73</v>
      </c>
      <c r="V18" s="14"/>
    </row>
    <row r="19" spans="1:22" ht="60" customHeight="1">
      <c r="A19" s="242"/>
      <c r="B19" s="281"/>
      <c r="C19" s="20" t="s">
        <v>227</v>
      </c>
      <c r="D19" s="27" t="s">
        <v>36</v>
      </c>
      <c r="E19" s="28">
        <v>17</v>
      </c>
      <c r="F19" s="24" t="s">
        <v>17</v>
      </c>
      <c r="G19" s="29">
        <v>20</v>
      </c>
      <c r="H19" s="169"/>
      <c r="I19" s="137"/>
      <c r="J19" s="121" t="str">
        <f>IF(I19="","",(H19-I19)*2.65)</f>
        <v/>
      </c>
      <c r="K19" s="25" t="str">
        <f t="shared" si="0"/>
        <v/>
      </c>
      <c r="L19" s="22" t="str">
        <f>IF(J19="","",IF(J19&gt;U19,"更槽",""))</f>
        <v/>
      </c>
      <c r="M19" s="144"/>
      <c r="N19" s="140"/>
      <c r="O19" s="99"/>
      <c r="P19" s="121" t="str">
        <f>IF(O19="","",(N19-O19)*2.65)</f>
        <v/>
      </c>
      <c r="Q19" s="18" t="str">
        <f t="shared" si="1"/>
        <v/>
      </c>
      <c r="R19" s="4" t="s">
        <v>131</v>
      </c>
      <c r="S19" s="2">
        <v>900</v>
      </c>
      <c r="T19" s="2" t="s">
        <v>73</v>
      </c>
      <c r="U19" s="18" t="s">
        <v>73</v>
      </c>
      <c r="V19" s="14"/>
    </row>
    <row r="20" spans="1:22" ht="60" customHeight="1">
      <c r="A20" s="242"/>
      <c r="B20" s="281"/>
      <c r="C20" s="18" t="s">
        <v>26</v>
      </c>
      <c r="D20" s="18" t="s">
        <v>38</v>
      </c>
      <c r="E20" s="23">
        <v>8.3000000000000007</v>
      </c>
      <c r="F20" s="24" t="s">
        <v>17</v>
      </c>
      <c r="G20" s="25">
        <v>8.6999999999999993</v>
      </c>
      <c r="H20" s="288" t="s">
        <v>28</v>
      </c>
      <c r="I20" s="289"/>
      <c r="J20" s="126"/>
      <c r="K20" s="25" t="str">
        <f t="shared" si="0"/>
        <v/>
      </c>
      <c r="L20" s="2" t="str">
        <f>IF(J20="","",IF(J20&gt;T20,"","添加"))</f>
        <v/>
      </c>
      <c r="M20" s="144" t="str">
        <f>IF(J20="","",IF(J20&lt;T20,"氨水："&amp;ROUND(((T20-J20)*S20*16.5/1000),1)&amp;" L",""))</f>
        <v/>
      </c>
      <c r="N20" s="288" t="s">
        <v>28</v>
      </c>
      <c r="O20" s="289"/>
      <c r="P20" s="126"/>
      <c r="Q20" s="18" t="str">
        <f t="shared" si="1"/>
        <v/>
      </c>
      <c r="R20" s="4" t="s">
        <v>111</v>
      </c>
      <c r="S20" s="2">
        <v>900</v>
      </c>
      <c r="T20" s="2">
        <v>8.5</v>
      </c>
      <c r="U20" s="18" t="s">
        <v>73</v>
      </c>
    </row>
    <row r="21" spans="1:22" ht="18" customHeight="1">
      <c r="A21" s="33" t="s">
        <v>19</v>
      </c>
      <c r="B21" s="34"/>
      <c r="C21" s="34"/>
      <c r="D21" s="34"/>
      <c r="E21" s="34"/>
      <c r="F21" s="34"/>
      <c r="G21" s="34"/>
      <c r="H21" s="34"/>
      <c r="I21" s="34"/>
      <c r="J21" s="34"/>
      <c r="K21" s="31"/>
    </row>
    <row r="22" spans="1:22" ht="18" customHeight="1">
      <c r="A22" s="19"/>
      <c r="B22" s="15"/>
      <c r="D22" s="15"/>
      <c r="E22" s="15"/>
      <c r="F22" s="15"/>
      <c r="G22" s="15"/>
      <c r="H22" s="15"/>
      <c r="I22" s="15"/>
      <c r="J22" s="15"/>
      <c r="K22" s="36"/>
    </row>
    <row r="23" spans="1:22" ht="18" customHeight="1">
      <c r="A23" s="272"/>
      <c r="B23" s="273"/>
      <c r="C23" s="274"/>
      <c r="D23" s="274"/>
      <c r="E23" s="274"/>
      <c r="F23" s="274"/>
      <c r="G23" s="274"/>
      <c r="H23" s="274"/>
      <c r="I23" s="274"/>
      <c r="J23" s="274"/>
      <c r="K23" s="275"/>
    </row>
    <row r="24" spans="1:22" s="16" customFormat="1" ht="18" customHeight="1">
      <c r="A24" s="276"/>
      <c r="B24" s="277"/>
      <c r="C24" s="277"/>
      <c r="D24" s="277"/>
      <c r="E24" s="277"/>
      <c r="F24" s="277"/>
      <c r="G24" s="277"/>
      <c r="H24" s="277"/>
      <c r="I24" s="277"/>
      <c r="J24" s="277"/>
      <c r="K24" s="278"/>
      <c r="L24" s="91"/>
      <c r="M24" s="91"/>
      <c r="N24" s="91"/>
      <c r="O24" s="91"/>
      <c r="P24" s="91"/>
      <c r="Q24" s="91"/>
      <c r="R24" s="91"/>
      <c r="S24" s="91"/>
      <c r="T24" s="91"/>
      <c r="V24" s="14"/>
    </row>
    <row r="25" spans="1:22" s="16" customFormat="1" ht="18" customHeight="1">
      <c r="A25" s="37" t="s">
        <v>21</v>
      </c>
      <c r="B25" s="14"/>
      <c r="C25" s="38" t="s">
        <v>22</v>
      </c>
      <c r="D25" s="14"/>
      <c r="E25" s="14"/>
      <c r="F25" s="14"/>
      <c r="G25" s="14"/>
      <c r="H25" s="38"/>
      <c r="I25" s="38" t="s">
        <v>23</v>
      </c>
      <c r="J25" s="14"/>
      <c r="K25" s="14"/>
      <c r="L25" s="91"/>
      <c r="M25" s="91"/>
      <c r="N25" s="91"/>
      <c r="O25" s="91"/>
      <c r="P25" s="91"/>
      <c r="Q25" s="91"/>
      <c r="R25" s="91"/>
      <c r="S25" s="91"/>
      <c r="T25" s="91"/>
      <c r="V25" s="14"/>
    </row>
    <row r="26" spans="1:22" s="16" customFormat="1" ht="18" customHeight="1">
      <c r="A26" s="14"/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91"/>
      <c r="M26" s="91"/>
      <c r="N26" s="91"/>
      <c r="O26" s="91"/>
      <c r="P26" s="91"/>
      <c r="Q26" s="91"/>
      <c r="R26" s="91"/>
      <c r="S26" s="91"/>
      <c r="T26" s="91"/>
      <c r="V26" s="14"/>
    </row>
    <row r="27" spans="1:22" s="16" customFormat="1" ht="18" customHeight="1">
      <c r="A27" s="14"/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91"/>
      <c r="M27" s="91"/>
      <c r="N27" s="91"/>
      <c r="O27" s="91"/>
      <c r="P27" s="91"/>
      <c r="Q27" s="91"/>
      <c r="R27" s="91"/>
      <c r="S27" s="91"/>
      <c r="T27" s="91"/>
      <c r="V27" s="14"/>
    </row>
  </sheetData>
  <sheetProtection algorithmName="SHA-512" hashValue="45NJ3YxNYZKztAKrwDeyaimxr6mgvZN3YyLzMBg/MQ0P4CtNAieMGNTSiZYm1b27nOSnI1A+W9KKyAy4sBtczA==" saltValue="a+ucNwFqCudewSY1Q55hWw==" spinCount="100000" sheet="1" objects="1" scenarios="1"/>
  <mergeCells count="40">
    <mergeCell ref="A23:K24"/>
    <mergeCell ref="B15:B16"/>
    <mergeCell ref="H15:I15"/>
    <mergeCell ref="N15:O15"/>
    <mergeCell ref="H16:I16"/>
    <mergeCell ref="N16:O16"/>
    <mergeCell ref="B17:B20"/>
    <mergeCell ref="H17:I17"/>
    <mergeCell ref="N17:O17"/>
    <mergeCell ref="H20:I20"/>
    <mergeCell ref="N20:O20"/>
    <mergeCell ref="H12:I12"/>
    <mergeCell ref="N12:O12"/>
    <mergeCell ref="B13:B14"/>
    <mergeCell ref="H13:I13"/>
    <mergeCell ref="N13:O13"/>
    <mergeCell ref="H14:I14"/>
    <mergeCell ref="N14:O14"/>
    <mergeCell ref="E6:G6"/>
    <mergeCell ref="H6:I6"/>
    <mergeCell ref="N6:O6"/>
    <mergeCell ref="A7:A20"/>
    <mergeCell ref="B7:B9"/>
    <mergeCell ref="H7:I7"/>
    <mergeCell ref="N7:O7"/>
    <mergeCell ref="H8:I8"/>
    <mergeCell ref="N8:O8"/>
    <mergeCell ref="H9:I9"/>
    <mergeCell ref="N9:O9"/>
    <mergeCell ref="B10:B11"/>
    <mergeCell ref="H10:I10"/>
    <mergeCell ref="N10:O10"/>
    <mergeCell ref="H11:I11"/>
    <mergeCell ref="N11:O11"/>
    <mergeCell ref="V5:X5"/>
    <mergeCell ref="A1:K1"/>
    <mergeCell ref="A2:K2"/>
    <mergeCell ref="B3:K3"/>
    <mergeCell ref="B4:K4"/>
    <mergeCell ref="B5:K5"/>
  </mergeCells>
  <phoneticPr fontId="17" type="noConversion"/>
  <conditionalFormatting sqref="K7:K20">
    <cfRule type="containsText" dxfId="43" priority="6" operator="containsText" text="NG">
      <formula>NOT(ISERROR(SEARCH("NG",K7)))</formula>
    </cfRule>
  </conditionalFormatting>
  <conditionalFormatting sqref="L10">
    <cfRule type="containsText" dxfId="42" priority="5" operator="containsText" text="NG">
      <formula>NOT(ISERROR(SEARCH("NG",L10)))</formula>
    </cfRule>
  </conditionalFormatting>
  <conditionalFormatting sqref="L12:L15">
    <cfRule type="containsText" dxfId="41" priority="4" operator="containsText" text="NG">
      <formula>NOT(ISERROR(SEARCH("NG",L12)))</formula>
    </cfRule>
  </conditionalFormatting>
  <conditionalFormatting sqref="L17:L18">
    <cfRule type="containsText" dxfId="40" priority="3" operator="containsText" text="NG">
      <formula>NOT(ISERROR(SEARCH("NG",L17)))</formula>
    </cfRule>
  </conditionalFormatting>
  <conditionalFormatting sqref="L7:M7 L20:M20">
    <cfRule type="containsText" dxfId="39" priority="7" operator="containsText" text="NG">
      <formula>NOT(ISERROR(SEARCH("NG",L7)))</formula>
    </cfRule>
  </conditionalFormatting>
  <conditionalFormatting sqref="M8:M19">
    <cfRule type="containsText" dxfId="38" priority="2" operator="containsText" text="NG">
      <formula>NOT(ISERROR(SEARCH("NG",M8)))</formula>
    </cfRule>
  </conditionalFormatting>
  <conditionalFormatting sqref="Q7:R20">
    <cfRule type="containsText" dxfId="37" priority="1" operator="containsText" text="NG">
      <formula>NOT(ISERROR(SEARCH("NG",Q7)))</formula>
    </cfRule>
  </conditionalFormatting>
  <conditionalFormatting sqref="T7:T20">
    <cfRule type="containsText" dxfId="36" priority="8" operator="containsText" text="NG">
      <formula>NOT(ISERROR(SEARCH("NG",T7)))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83F3-CFC8-47C2-83DB-6B0F38FD76CA}">
  <sheetPr>
    <tabColor rgb="FF00FFFF"/>
    <pageSetUpPr fitToPage="1"/>
  </sheetPr>
  <dimension ref="A1:X27"/>
  <sheetViews>
    <sheetView showGridLines="0" zoomScale="40" zoomScaleNormal="40" workbookViewId="0">
      <selection activeCell="Q28" sqref="Q28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11.125" style="14" customWidth="1"/>
    <col min="10" max="11" width="21.625" style="14" customWidth="1"/>
    <col min="12" max="12" width="21.625" style="91" customWidth="1"/>
    <col min="13" max="13" width="50.625" style="91" customWidth="1"/>
    <col min="14" max="15" width="11.125" style="91" customWidth="1"/>
    <col min="16" max="17" width="21.625" style="91" customWidth="1"/>
    <col min="18" max="18" width="30.625" style="91" hidden="1" customWidth="1"/>
    <col min="19" max="20" width="21.625" style="91" hidden="1" customWidth="1"/>
    <col min="21" max="21" width="21.625" style="17" hidden="1" customWidth="1"/>
    <col min="22" max="22" width="30.625" style="15" customWidth="1"/>
    <col min="23" max="24" width="30.625" style="17" customWidth="1"/>
    <col min="25" max="16384" width="9" style="17"/>
  </cols>
  <sheetData>
    <row r="1" spans="1:24" ht="27.75" customHeight="1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24" ht="50.25">
      <c r="A2" s="234" t="s">
        <v>0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</row>
    <row r="3" spans="1:24" ht="35.1" customHeight="1">
      <c r="A3" s="18" t="s">
        <v>1</v>
      </c>
      <c r="B3" s="279" t="s">
        <v>164</v>
      </c>
      <c r="C3" s="279"/>
      <c r="D3" s="279"/>
      <c r="E3" s="279"/>
      <c r="F3" s="279"/>
      <c r="G3" s="279"/>
      <c r="H3" s="279"/>
      <c r="I3" s="279"/>
      <c r="J3" s="279"/>
      <c r="K3" s="279"/>
    </row>
    <row r="4" spans="1:24" ht="35.1" customHeight="1">
      <c r="A4" s="18" t="s">
        <v>2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</row>
    <row r="5" spans="1:24" ht="35.1" customHeight="1">
      <c r="A5" s="18" t="s">
        <v>3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17"/>
      <c r="M5" s="17"/>
      <c r="N5" s="138" t="s">
        <v>140</v>
      </c>
      <c r="O5" s="139"/>
      <c r="P5" s="139"/>
      <c r="Q5" s="139"/>
      <c r="R5" s="17"/>
      <c r="S5" s="17"/>
      <c r="T5" s="17"/>
      <c r="V5" s="261" t="s">
        <v>158</v>
      </c>
      <c r="W5" s="261"/>
      <c r="X5" s="261"/>
    </row>
    <row r="6" spans="1:24" ht="35.1" customHeight="1">
      <c r="A6" s="18" t="s">
        <v>1</v>
      </c>
      <c r="B6" s="18" t="s">
        <v>234</v>
      </c>
      <c r="C6" s="20" t="s">
        <v>5</v>
      </c>
      <c r="D6" s="20" t="s">
        <v>6</v>
      </c>
      <c r="E6" s="281" t="s">
        <v>7</v>
      </c>
      <c r="F6" s="281"/>
      <c r="G6" s="281"/>
      <c r="H6" s="282" t="s">
        <v>8</v>
      </c>
      <c r="I6" s="283"/>
      <c r="J6" s="20" t="s">
        <v>9</v>
      </c>
      <c r="K6" s="20" t="s">
        <v>10</v>
      </c>
      <c r="L6" s="1" t="s">
        <v>11</v>
      </c>
      <c r="M6" s="2" t="s">
        <v>13</v>
      </c>
      <c r="N6" s="282" t="s">
        <v>8</v>
      </c>
      <c r="O6" s="283"/>
      <c r="P6" s="20" t="s">
        <v>9</v>
      </c>
      <c r="Q6" s="47" t="s">
        <v>10</v>
      </c>
      <c r="R6" s="2" t="s">
        <v>12</v>
      </c>
      <c r="S6" s="2" t="s">
        <v>14</v>
      </c>
      <c r="T6" s="2" t="s">
        <v>15</v>
      </c>
      <c r="U6" s="131" t="s">
        <v>105</v>
      </c>
      <c r="V6" s="161" t="s">
        <v>159</v>
      </c>
      <c r="W6" s="161" t="s">
        <v>160</v>
      </c>
      <c r="X6" s="161" t="s">
        <v>161</v>
      </c>
    </row>
    <row r="7" spans="1:24" ht="60" customHeight="1">
      <c r="A7" s="241" t="s">
        <v>177</v>
      </c>
      <c r="B7" s="281" t="s">
        <v>191</v>
      </c>
      <c r="C7" s="20" t="s">
        <v>222</v>
      </c>
      <c r="D7" s="18" t="s">
        <v>24</v>
      </c>
      <c r="E7" s="23">
        <v>18</v>
      </c>
      <c r="F7" s="24" t="s">
        <v>17</v>
      </c>
      <c r="G7" s="25">
        <v>22</v>
      </c>
      <c r="H7" s="284"/>
      <c r="I7" s="285"/>
      <c r="J7" s="124" t="str">
        <f>IF(H7="","",(1.12*H7*F!$B$4)*2)</f>
        <v/>
      </c>
      <c r="K7" s="25" t="str">
        <f>IF(J7="","",IF(OR(J7&lt;E7,J7&gt;G7),"NG","OK"))</f>
        <v/>
      </c>
      <c r="L7" s="2" t="str">
        <f>IF(J7="","",IF(J7&lt;T7,"添加",IF(J7&gt;U7,"稀釋","")))</f>
        <v/>
      </c>
      <c r="M7" s="144" t="str">
        <f>IFERROR(IF(J7&lt;T7,"KOH："&amp;ROUND(((T7-J7)*S7/0.6525/1000),1)&amp;" L",IF(J7&gt;U7,"排藥："&amp;ROUND((J7-U7)/J7*S7,1)&amp;" L"&amp;"
補水："&amp;ROUND((J7-U7)/J7*S7,1)&amp;" L","")),"")</f>
        <v/>
      </c>
      <c r="N7" s="286"/>
      <c r="O7" s="287"/>
      <c r="P7" s="124" t="str">
        <f>IF(N7="","",(1.12*N7*F!$B$4)*2)</f>
        <v/>
      </c>
      <c r="Q7" s="18" t="str">
        <f>IF(P7="","",IF(OR(P7&lt;E7,P7&gt;G7),"NG","OK"))</f>
        <v/>
      </c>
      <c r="R7" s="4" t="s">
        <v>107</v>
      </c>
      <c r="S7" s="2">
        <v>600</v>
      </c>
      <c r="T7" s="2">
        <v>20</v>
      </c>
      <c r="U7" s="18">
        <v>22</v>
      </c>
    </row>
    <row r="8" spans="1:24" ht="60" customHeight="1">
      <c r="A8" s="242"/>
      <c r="B8" s="281"/>
      <c r="C8" s="197" t="s">
        <v>190</v>
      </c>
      <c r="D8" s="198" t="s">
        <v>25</v>
      </c>
      <c r="E8" s="199">
        <v>7</v>
      </c>
      <c r="F8" s="193" t="s">
        <v>17</v>
      </c>
      <c r="G8" s="200">
        <v>9</v>
      </c>
      <c r="H8" s="288" t="s">
        <v>28</v>
      </c>
      <c r="I8" s="289"/>
      <c r="J8" s="125"/>
      <c r="K8" s="25" t="str">
        <f t="shared" ref="K8:K20" si="0">IF(J8="","",IF(OR(J8&lt;E8,J8&gt;G8),"NG","OK"))</f>
        <v/>
      </c>
      <c r="L8" s="22" t="str">
        <f>IF(J8="","",IF(J8&gt;U8,"更槽",""))</f>
        <v/>
      </c>
      <c r="M8" s="144"/>
      <c r="N8" s="288" t="s">
        <v>28</v>
      </c>
      <c r="O8" s="289"/>
      <c r="P8" s="125"/>
      <c r="Q8" s="18" t="str">
        <f t="shared" ref="Q8:Q20" si="1">IF(P8="","",IF(OR(P8&lt;E8,P8&gt;G8),"NG","OK"))</f>
        <v/>
      </c>
      <c r="R8" s="2" t="s">
        <v>106</v>
      </c>
      <c r="S8" s="2">
        <v>600</v>
      </c>
      <c r="T8" s="2" t="s">
        <v>73</v>
      </c>
      <c r="U8" s="18" t="s">
        <v>73</v>
      </c>
      <c r="V8" s="14" t="s">
        <v>183</v>
      </c>
      <c r="W8" s="160">
        <v>46204</v>
      </c>
      <c r="X8" s="160">
        <v>46295</v>
      </c>
    </row>
    <row r="9" spans="1:24" ht="60" customHeight="1">
      <c r="A9" s="242"/>
      <c r="B9" s="281"/>
      <c r="C9" s="192" t="s">
        <v>26</v>
      </c>
      <c r="D9" s="198" t="s">
        <v>27</v>
      </c>
      <c r="E9" s="199">
        <v>12.8</v>
      </c>
      <c r="F9" s="193" t="s">
        <v>17</v>
      </c>
      <c r="G9" s="200">
        <v>13.8</v>
      </c>
      <c r="H9" s="288" t="s">
        <v>28</v>
      </c>
      <c r="I9" s="289"/>
      <c r="J9" s="125"/>
      <c r="K9" s="25" t="str">
        <f t="shared" si="0"/>
        <v/>
      </c>
      <c r="L9" s="22" t="str">
        <f>IF(J9="","",IF(J9&gt;U9,"更槽",""))</f>
        <v/>
      </c>
      <c r="M9" s="144"/>
      <c r="N9" s="288" t="s">
        <v>28</v>
      </c>
      <c r="O9" s="289"/>
      <c r="P9" s="125"/>
      <c r="Q9" s="18" t="str">
        <f t="shared" si="1"/>
        <v/>
      </c>
      <c r="R9" s="2" t="s">
        <v>106</v>
      </c>
      <c r="S9" s="2">
        <v>600</v>
      </c>
      <c r="T9" s="2" t="s">
        <v>73</v>
      </c>
      <c r="U9" s="18" t="s">
        <v>73</v>
      </c>
      <c r="V9" s="14" t="s">
        <v>183</v>
      </c>
      <c r="W9" s="160">
        <v>46204</v>
      </c>
      <c r="X9" s="160">
        <v>46295</v>
      </c>
    </row>
    <row r="10" spans="1:24" ht="60" customHeight="1">
      <c r="A10" s="242"/>
      <c r="B10" s="281" t="s">
        <v>39</v>
      </c>
      <c r="C10" s="26" t="s">
        <v>29</v>
      </c>
      <c r="D10" s="27" t="s">
        <v>30</v>
      </c>
      <c r="E10" s="28">
        <v>135</v>
      </c>
      <c r="F10" s="24" t="s">
        <v>17</v>
      </c>
      <c r="G10" s="29">
        <v>165</v>
      </c>
      <c r="H10" s="290"/>
      <c r="I10" s="291"/>
      <c r="J10" s="121" t="str">
        <f>IF(H10="","",(11.94*H10*F!$B$8))</f>
        <v/>
      </c>
      <c r="K10" s="25" t="str">
        <f t="shared" si="0"/>
        <v/>
      </c>
      <c r="L10" s="2" t="str">
        <f>IF(J10="","",IF(J10&lt;T10,"添加",IF(J10&gt;U10,"稀釋","")))</f>
        <v/>
      </c>
      <c r="M10" s="144" t="str">
        <f>IFERROR(IF(J10&lt;T10,"P200："&amp;ROUND(((T10-J10)*S10/1000),1)&amp;" L",IF(J10&gt;U10,"排藥："&amp;ROUND((J10-U10)/J10*S10,1)&amp;" L"&amp;"
補水："&amp;ROUND((J10-U10)/J10*S10,1)&amp;" L","")),"")</f>
        <v/>
      </c>
      <c r="N10" s="292"/>
      <c r="O10" s="293"/>
      <c r="P10" s="121" t="str">
        <f>IF(N10="","",(11.94*N10*F!$B$8))</f>
        <v/>
      </c>
      <c r="Q10" s="18" t="str">
        <f t="shared" si="1"/>
        <v/>
      </c>
      <c r="R10" s="4" t="s">
        <v>112</v>
      </c>
      <c r="S10" s="2">
        <v>500</v>
      </c>
      <c r="T10" s="2">
        <v>150</v>
      </c>
      <c r="U10" s="18">
        <v>165</v>
      </c>
    </row>
    <row r="11" spans="1:24" ht="60" customHeight="1">
      <c r="A11" s="242"/>
      <c r="B11" s="281"/>
      <c r="C11" s="18" t="s">
        <v>26</v>
      </c>
      <c r="D11" s="27" t="s">
        <v>40</v>
      </c>
      <c r="E11" s="28">
        <v>9.5</v>
      </c>
      <c r="F11" s="24" t="s">
        <v>17</v>
      </c>
      <c r="G11" s="29">
        <v>11</v>
      </c>
      <c r="H11" s="288" t="s">
        <v>28</v>
      </c>
      <c r="I11" s="289"/>
      <c r="J11" s="125"/>
      <c r="K11" s="25" t="str">
        <f t="shared" si="0"/>
        <v/>
      </c>
      <c r="L11" s="22" t="str">
        <f>IF(J11="","",IF(J11&gt;U11,"更槽",""))</f>
        <v/>
      </c>
      <c r="M11" s="144"/>
      <c r="N11" s="288" t="s">
        <v>28</v>
      </c>
      <c r="O11" s="289"/>
      <c r="P11" s="125"/>
      <c r="Q11" s="18" t="str">
        <f t="shared" si="1"/>
        <v/>
      </c>
      <c r="R11" s="2" t="s">
        <v>106</v>
      </c>
      <c r="S11" s="2">
        <v>500</v>
      </c>
      <c r="T11" s="2" t="s">
        <v>73</v>
      </c>
      <c r="U11" s="18" t="s">
        <v>73</v>
      </c>
    </row>
    <row r="12" spans="1:24" ht="60" customHeight="1">
      <c r="A12" s="242"/>
      <c r="B12" s="20" t="s">
        <v>41</v>
      </c>
      <c r="C12" s="26" t="s">
        <v>42</v>
      </c>
      <c r="D12" s="27" t="s">
        <v>43</v>
      </c>
      <c r="E12" s="28">
        <v>240</v>
      </c>
      <c r="F12" s="24" t="s">
        <v>17</v>
      </c>
      <c r="G12" s="29">
        <v>280</v>
      </c>
      <c r="H12" s="290"/>
      <c r="I12" s="291"/>
      <c r="J12" s="121" t="str">
        <f>IF(H12="","",42.14*H12*F!$B$3)</f>
        <v/>
      </c>
      <c r="K12" s="25" t="str">
        <f t="shared" si="0"/>
        <v/>
      </c>
      <c r="L12" s="2" t="str">
        <f>IF(J12&gt;T12,"","添加")</f>
        <v/>
      </c>
      <c r="M12" s="145" t="str">
        <f>IFERROR(IF(J12&lt;T12,"P300："&amp;ROUND(((T12-J12)*S12/1000),1)&amp;" L",IF(J12&gt;U12,"排藥："&amp;ROUND((J12-U12)/J12*S12,1)&amp;" L"&amp;"
補水："&amp;ROUND((J12-U12)/J12*S12,1)&amp;" L","")),"")</f>
        <v/>
      </c>
      <c r="N12" s="292"/>
      <c r="O12" s="293"/>
      <c r="P12" s="121" t="str">
        <f>IF(N12="","",42.14*N12*F!$B$3)</f>
        <v/>
      </c>
      <c r="Q12" s="18" t="str">
        <f t="shared" si="1"/>
        <v/>
      </c>
      <c r="R12" s="4" t="s">
        <v>130</v>
      </c>
      <c r="S12" s="2">
        <v>230</v>
      </c>
      <c r="T12" s="2">
        <v>260</v>
      </c>
      <c r="U12" s="18">
        <v>280</v>
      </c>
    </row>
    <row r="13" spans="1:24" ht="60" customHeight="1">
      <c r="A13" s="242"/>
      <c r="B13" s="281" t="s">
        <v>44</v>
      </c>
      <c r="C13" s="26" t="s">
        <v>45</v>
      </c>
      <c r="D13" s="27" t="s">
        <v>46</v>
      </c>
      <c r="E13" s="28">
        <v>30</v>
      </c>
      <c r="F13" s="24" t="s">
        <v>17</v>
      </c>
      <c r="G13" s="127">
        <v>999</v>
      </c>
      <c r="H13" s="290"/>
      <c r="I13" s="291"/>
      <c r="J13" s="121" t="str">
        <f>IF(H13="","",(H13*195.7)+1.7752)</f>
        <v/>
      </c>
      <c r="K13" s="25" t="str">
        <f t="shared" si="0"/>
        <v/>
      </c>
      <c r="L13" s="2" t="str">
        <f>IF(J13="","",IF(J13&lt;T13,"添加",IF(J13&gt;U13,"稀釋","")))</f>
        <v/>
      </c>
      <c r="M13" s="144" t="str">
        <f>IFERROR(IF(J13&lt;T13,"P400："&amp;ROUND(((T13-J13)*S13/1000),1)&amp;" L",IF(J13&gt;U13,"排藥："&amp;ROUND((J13-U13)/J13*S13,1)&amp;" L"&amp;"
補水："&amp;ROUND((J13-U13)/J13*S13,1)&amp;" L","")),"")</f>
        <v/>
      </c>
      <c r="N13" s="292"/>
      <c r="O13" s="293"/>
      <c r="P13" s="121" t="str">
        <f>IF(N13="","",(N13*195.7)+1.7752)</f>
        <v/>
      </c>
      <c r="Q13" s="18" t="str">
        <f t="shared" si="1"/>
        <v/>
      </c>
      <c r="R13" s="4" t="s">
        <v>108</v>
      </c>
      <c r="S13" s="2">
        <v>380</v>
      </c>
      <c r="T13" s="2">
        <v>31</v>
      </c>
      <c r="U13" s="18" t="s">
        <v>73</v>
      </c>
    </row>
    <row r="14" spans="1:24" ht="60" customHeight="1">
      <c r="A14" s="242"/>
      <c r="B14" s="281"/>
      <c r="C14" s="92" t="s">
        <v>225</v>
      </c>
      <c r="D14" s="27" t="s">
        <v>47</v>
      </c>
      <c r="E14" s="28">
        <v>5</v>
      </c>
      <c r="F14" s="24" t="s">
        <v>17</v>
      </c>
      <c r="G14" s="29">
        <v>25</v>
      </c>
      <c r="H14" s="290"/>
      <c r="I14" s="291"/>
      <c r="J14" s="121" t="str">
        <f>IF(H14="","",2.256*H14*F!$B$9)</f>
        <v/>
      </c>
      <c r="K14" s="25" t="str">
        <f t="shared" si="0"/>
        <v/>
      </c>
      <c r="L14" s="2" t="str">
        <f t="shared" ref="L14:L15" si="2">IF(J14="","",IF(J14&lt;T14,"添加",IF(J14&gt;U14,"稀釋","")))</f>
        <v/>
      </c>
      <c r="M14" s="144" t="str">
        <f>IFERROR(IF(J14&lt;T14,"安定劑："&amp;ROUND(((T14-J14)*S14/1000),1)&amp;" L",IF(J14&gt;U14,"排藥："&amp;ROUND((J14-U14)/J14*S14,1)&amp;" L"&amp;"
補水："&amp;ROUND((J14-U14)/J14*S14,1)&amp;" L","")),"")</f>
        <v/>
      </c>
      <c r="N14" s="292"/>
      <c r="O14" s="293"/>
      <c r="P14" s="121" t="str">
        <f>IF(N14="","",2.256*N14*F!$B$9)</f>
        <v/>
      </c>
      <c r="Q14" s="18" t="str">
        <f t="shared" si="1"/>
        <v/>
      </c>
      <c r="R14" s="2" t="s">
        <v>109</v>
      </c>
      <c r="S14" s="2">
        <v>380</v>
      </c>
      <c r="T14" s="2">
        <v>5</v>
      </c>
      <c r="U14" s="18" t="s">
        <v>73</v>
      </c>
    </row>
    <row r="15" spans="1:24" ht="60" customHeight="1">
      <c r="A15" s="242"/>
      <c r="B15" s="281" t="s">
        <v>31</v>
      </c>
      <c r="C15" s="26" t="s">
        <v>32</v>
      </c>
      <c r="D15" s="27" t="s">
        <v>33</v>
      </c>
      <c r="E15" s="28">
        <v>90</v>
      </c>
      <c r="F15" s="24" t="s">
        <v>17</v>
      </c>
      <c r="G15" s="29">
        <v>110</v>
      </c>
      <c r="H15" s="290"/>
      <c r="I15" s="291"/>
      <c r="J15" s="121" t="str">
        <f>IF(H15="","",7.24*H15*F!$B$3)</f>
        <v/>
      </c>
      <c r="K15" s="25" t="str">
        <f t="shared" si="0"/>
        <v/>
      </c>
      <c r="L15" s="2" t="str">
        <f t="shared" si="2"/>
        <v/>
      </c>
      <c r="M15" s="144" t="str">
        <f>IFERROR(IF(J15&lt;T15,"P500A："&amp;ROUND(((T15-J15)*S15/1000),1)&amp;" L",IF(J15&gt;U15,"排藥："&amp;ROUND((J15-U15)/J15*S15,1)&amp;" L"&amp;"
補水："&amp;ROUND((J15-U15)/J15*S15,1)&amp;" L","")),"")</f>
        <v/>
      </c>
      <c r="N15" s="292"/>
      <c r="O15" s="293"/>
      <c r="P15" s="121" t="str">
        <f>IF(N15="","",7.24*N15*F!$B$3)</f>
        <v/>
      </c>
      <c r="Q15" s="18" t="str">
        <f t="shared" si="1"/>
        <v/>
      </c>
      <c r="R15" s="4" t="s">
        <v>128</v>
      </c>
      <c r="S15" s="2">
        <v>600</v>
      </c>
      <c r="T15" s="2">
        <v>100</v>
      </c>
      <c r="U15" s="18">
        <v>110</v>
      </c>
    </row>
    <row r="16" spans="1:24" ht="60" customHeight="1">
      <c r="A16" s="242"/>
      <c r="B16" s="281"/>
      <c r="C16" s="92" t="s">
        <v>225</v>
      </c>
      <c r="D16" s="26" t="s">
        <v>34</v>
      </c>
      <c r="E16" s="120">
        <v>0</v>
      </c>
      <c r="F16" s="24" t="s">
        <v>17</v>
      </c>
      <c r="G16" s="29">
        <v>0.3</v>
      </c>
      <c r="H16" s="290"/>
      <c r="I16" s="291"/>
      <c r="J16" s="121" t="str">
        <f>IF(H16="","",2.256*H16*F!$B$9)</f>
        <v/>
      </c>
      <c r="K16" s="25" t="str">
        <f t="shared" si="0"/>
        <v/>
      </c>
      <c r="L16" s="22" t="str">
        <f>IF(J16="","",IF(J16&gt;U16,"更槽",""))</f>
        <v/>
      </c>
      <c r="M16" s="144"/>
      <c r="N16" s="292"/>
      <c r="O16" s="293"/>
      <c r="P16" s="121" t="str">
        <f>IF(N16="","",2.256*N16*F!$B$9)</f>
        <v/>
      </c>
      <c r="Q16" s="18" t="str">
        <f t="shared" si="1"/>
        <v/>
      </c>
      <c r="R16" s="4" t="s">
        <v>129</v>
      </c>
      <c r="S16" s="2">
        <v>600</v>
      </c>
      <c r="T16" s="2" t="s">
        <v>73</v>
      </c>
      <c r="U16" s="18" t="s">
        <v>73</v>
      </c>
    </row>
    <row r="17" spans="1:22" ht="60" customHeight="1">
      <c r="A17" s="242"/>
      <c r="B17" s="281" t="s">
        <v>48</v>
      </c>
      <c r="C17" s="92" t="s">
        <v>223</v>
      </c>
      <c r="D17" s="27" t="s">
        <v>35</v>
      </c>
      <c r="E17" s="28">
        <v>4.5999999999999996</v>
      </c>
      <c r="F17" s="24" t="s">
        <v>17</v>
      </c>
      <c r="G17" s="29">
        <v>5</v>
      </c>
      <c r="H17" s="290"/>
      <c r="I17" s="291"/>
      <c r="J17" s="121" t="str">
        <f>IF(H17="","",0.59*H17*F!$B$6)</f>
        <v/>
      </c>
      <c r="K17" s="25" t="str">
        <f t="shared" si="0"/>
        <v/>
      </c>
      <c r="L17" s="2" t="str">
        <f t="shared" ref="L17:L18" si="3">IF(J17="","",IF(J17&lt;T17,"添加",IF(J17&gt;U17,"稀釋","")))</f>
        <v/>
      </c>
      <c r="M17" s="144" t="str">
        <f>IFERROR(IF(J17&lt;T17,"A劑："&amp;ROUND(((T17-J17)*S17*9.2/1000),1)&amp;" L",IF(J17&gt;U17,"排藥："&amp;ROUND((J17-U17)/J17*S17,1)&amp;" L"&amp;"
補水："&amp;ROUND((J17-U17)/J17*S17,1)&amp;" L","")),"")</f>
        <v/>
      </c>
      <c r="N17" s="292"/>
      <c r="O17" s="293"/>
      <c r="P17" s="121" t="str">
        <f>IF(N17="","",0.59*N17*F!$B$6)</f>
        <v/>
      </c>
      <c r="Q17" s="18" t="str">
        <f t="shared" si="1"/>
        <v/>
      </c>
      <c r="R17" s="4" t="s">
        <v>113</v>
      </c>
      <c r="S17" s="2">
        <v>900</v>
      </c>
      <c r="T17" s="2">
        <v>4.8</v>
      </c>
      <c r="U17" s="18">
        <v>5</v>
      </c>
    </row>
    <row r="18" spans="1:22" ht="60" customHeight="1">
      <c r="A18" s="242"/>
      <c r="B18" s="281"/>
      <c r="C18" s="92" t="s">
        <v>226</v>
      </c>
      <c r="D18" s="26" t="s">
        <v>37</v>
      </c>
      <c r="E18" s="224">
        <v>0</v>
      </c>
      <c r="F18" s="24" t="s">
        <v>17</v>
      </c>
      <c r="G18" s="25">
        <v>100</v>
      </c>
      <c r="H18" s="170"/>
      <c r="I18" s="137"/>
      <c r="J18" s="121" t="str">
        <f>IF(I18="","",(H18-I18)*10.08)</f>
        <v/>
      </c>
      <c r="K18" s="25" t="str">
        <f t="shared" si="0"/>
        <v/>
      </c>
      <c r="L18" s="2" t="str">
        <f t="shared" si="3"/>
        <v/>
      </c>
      <c r="M18" s="144" t="str">
        <f>IF(J18&lt;T18,"A劑："&amp;ROUND(((T18-J18)*S18*1.62/1000),1)&amp;" L",IF(J18&gt;U18,"排藥："&amp;ROUND((J18-U18)/J18*S18,1)&amp;" L"&amp;"
補水："&amp;ROUND((J18-U18)/J18*S18,1)&amp;" L",""))</f>
        <v/>
      </c>
      <c r="N18" s="141"/>
      <c r="O18" s="99"/>
      <c r="P18" s="121" t="str">
        <f>IF(O18="","",(N18-O18)*10.08)</f>
        <v/>
      </c>
      <c r="Q18" s="18" t="str">
        <f t="shared" si="1"/>
        <v/>
      </c>
      <c r="R18" s="4" t="s">
        <v>110</v>
      </c>
      <c r="S18" s="2">
        <v>900</v>
      </c>
      <c r="T18" s="2">
        <v>18.5</v>
      </c>
      <c r="U18" s="18" t="s">
        <v>73</v>
      </c>
      <c r="V18" s="14"/>
    </row>
    <row r="19" spans="1:22" ht="60" customHeight="1">
      <c r="A19" s="242"/>
      <c r="B19" s="281"/>
      <c r="C19" s="20" t="s">
        <v>227</v>
      </c>
      <c r="D19" s="27" t="s">
        <v>36</v>
      </c>
      <c r="E19" s="28">
        <v>17</v>
      </c>
      <c r="F19" s="24" t="s">
        <v>17</v>
      </c>
      <c r="G19" s="29">
        <v>20</v>
      </c>
      <c r="H19" s="169"/>
      <c r="I19" s="137"/>
      <c r="J19" s="121" t="str">
        <f>IF(I19="","",(H19-I19)*2.65)</f>
        <v/>
      </c>
      <c r="K19" s="25" t="str">
        <f t="shared" si="0"/>
        <v/>
      </c>
      <c r="L19" s="22" t="str">
        <f>IF(J19="","",IF(J19&gt;U19,"更槽",""))</f>
        <v/>
      </c>
      <c r="M19" s="144"/>
      <c r="N19" s="140"/>
      <c r="O19" s="99"/>
      <c r="P19" s="121" t="str">
        <f>IF(O19="","",(N19-O19)*2.65)</f>
        <v/>
      </c>
      <c r="Q19" s="18" t="str">
        <f t="shared" si="1"/>
        <v/>
      </c>
      <c r="R19" s="4" t="s">
        <v>131</v>
      </c>
      <c r="S19" s="2">
        <v>900</v>
      </c>
      <c r="T19" s="2" t="s">
        <v>73</v>
      </c>
      <c r="U19" s="18" t="s">
        <v>73</v>
      </c>
      <c r="V19" s="14"/>
    </row>
    <row r="20" spans="1:22" ht="60" customHeight="1">
      <c r="A20" s="242"/>
      <c r="B20" s="281"/>
      <c r="C20" s="18" t="s">
        <v>26</v>
      </c>
      <c r="D20" s="18" t="s">
        <v>38</v>
      </c>
      <c r="E20" s="23">
        <v>8.3000000000000007</v>
      </c>
      <c r="F20" s="24" t="s">
        <v>17</v>
      </c>
      <c r="G20" s="25">
        <v>8.6999999999999993</v>
      </c>
      <c r="H20" s="288" t="s">
        <v>28</v>
      </c>
      <c r="I20" s="289"/>
      <c r="J20" s="126"/>
      <c r="K20" s="25" t="str">
        <f t="shared" si="0"/>
        <v/>
      </c>
      <c r="L20" s="2" t="str">
        <f>IF(J20="","",IF(J20&gt;T20,"","添加"))</f>
        <v/>
      </c>
      <c r="M20" s="144" t="str">
        <f>IF(J20="","",IF(J20&lt;T20,"氨水："&amp;ROUND(((T20-J20)*S20*16.5/1000),1)&amp;" L",""))</f>
        <v/>
      </c>
      <c r="N20" s="288" t="s">
        <v>28</v>
      </c>
      <c r="O20" s="289"/>
      <c r="P20" s="126"/>
      <c r="Q20" s="18" t="str">
        <f t="shared" si="1"/>
        <v/>
      </c>
      <c r="R20" s="4" t="s">
        <v>111</v>
      </c>
      <c r="S20" s="2">
        <v>900</v>
      </c>
      <c r="T20" s="2">
        <v>8.5</v>
      </c>
      <c r="U20" s="18" t="s">
        <v>73</v>
      </c>
    </row>
    <row r="21" spans="1:22" ht="18" customHeight="1">
      <c r="A21" s="33" t="s">
        <v>19</v>
      </c>
      <c r="B21" s="34"/>
      <c r="C21" s="34"/>
      <c r="D21" s="34"/>
      <c r="E21" s="34"/>
      <c r="F21" s="34"/>
      <c r="G21" s="34"/>
      <c r="H21" s="34"/>
      <c r="I21" s="34"/>
      <c r="J21" s="34"/>
      <c r="K21" s="31"/>
    </row>
    <row r="22" spans="1:22" ht="18" customHeight="1">
      <c r="A22" s="19"/>
      <c r="B22" s="15"/>
      <c r="D22" s="15"/>
      <c r="E22" s="15"/>
      <c r="F22" s="15"/>
      <c r="G22" s="15"/>
      <c r="H22" s="15"/>
      <c r="I22" s="15"/>
      <c r="J22" s="15"/>
      <c r="K22" s="36"/>
    </row>
    <row r="23" spans="1:22" ht="18" customHeight="1">
      <c r="A23" s="272"/>
      <c r="B23" s="273"/>
      <c r="C23" s="274"/>
      <c r="D23" s="274"/>
      <c r="E23" s="274"/>
      <c r="F23" s="274"/>
      <c r="G23" s="274"/>
      <c r="H23" s="274"/>
      <c r="I23" s="274"/>
      <c r="J23" s="274"/>
      <c r="K23" s="275"/>
    </row>
    <row r="24" spans="1:22" s="16" customFormat="1" ht="18" customHeight="1">
      <c r="A24" s="276"/>
      <c r="B24" s="277"/>
      <c r="C24" s="277"/>
      <c r="D24" s="277"/>
      <c r="E24" s="277"/>
      <c r="F24" s="277"/>
      <c r="G24" s="277"/>
      <c r="H24" s="277"/>
      <c r="I24" s="277"/>
      <c r="J24" s="277"/>
      <c r="K24" s="278"/>
      <c r="L24" s="91"/>
      <c r="M24" s="91"/>
      <c r="N24" s="91"/>
      <c r="O24" s="91"/>
      <c r="P24" s="91"/>
      <c r="Q24" s="91"/>
      <c r="R24" s="91"/>
      <c r="S24" s="91"/>
      <c r="T24" s="91"/>
      <c r="V24" s="14"/>
    </row>
    <row r="25" spans="1:22" s="16" customFormat="1" ht="18" customHeight="1">
      <c r="A25" s="37" t="s">
        <v>21</v>
      </c>
      <c r="B25" s="14"/>
      <c r="C25" s="38" t="s">
        <v>22</v>
      </c>
      <c r="D25" s="14"/>
      <c r="E25" s="14"/>
      <c r="F25" s="14"/>
      <c r="G25" s="14"/>
      <c r="H25" s="38"/>
      <c r="I25" s="38" t="s">
        <v>23</v>
      </c>
      <c r="J25" s="14"/>
      <c r="K25" s="14"/>
      <c r="L25" s="91"/>
      <c r="M25" s="91"/>
      <c r="N25" s="91"/>
      <c r="O25" s="91"/>
      <c r="P25" s="91"/>
      <c r="Q25" s="91"/>
      <c r="R25" s="91"/>
      <c r="S25" s="91"/>
      <c r="T25" s="91"/>
      <c r="V25" s="14"/>
    </row>
    <row r="26" spans="1:22" s="16" customFormat="1" ht="18" customHeight="1">
      <c r="A26" s="14"/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91"/>
      <c r="M26" s="91"/>
      <c r="N26" s="91"/>
      <c r="O26" s="91"/>
      <c r="P26" s="91"/>
      <c r="Q26" s="91"/>
      <c r="R26" s="91"/>
      <c r="S26" s="91"/>
      <c r="T26" s="91"/>
      <c r="V26" s="14"/>
    </row>
    <row r="27" spans="1:22" s="16" customFormat="1" ht="18" customHeight="1">
      <c r="A27" s="14"/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91"/>
      <c r="M27" s="91"/>
      <c r="N27" s="91"/>
      <c r="O27" s="91"/>
      <c r="P27" s="91"/>
      <c r="Q27" s="91"/>
      <c r="R27" s="91"/>
      <c r="S27" s="91"/>
      <c r="T27" s="91"/>
      <c r="V27" s="14"/>
    </row>
  </sheetData>
  <sheetProtection algorithmName="SHA-512" hashValue="dUyxFmuslktwZcj0wXph2bMYevMqm44F1j22TZSHirj3guny81EeKWsx+00oW4+Kdj6i0KqJe0MDq7PeLsvqGQ==" saltValue="kY2NH+a5feIMYHFRcPXC4g==" spinCount="100000" sheet="1" objects="1" scenarios="1"/>
  <mergeCells count="40">
    <mergeCell ref="A23:K24"/>
    <mergeCell ref="B15:B16"/>
    <mergeCell ref="H15:I15"/>
    <mergeCell ref="N15:O15"/>
    <mergeCell ref="H16:I16"/>
    <mergeCell ref="N16:O16"/>
    <mergeCell ref="B17:B20"/>
    <mergeCell ref="H17:I17"/>
    <mergeCell ref="N17:O17"/>
    <mergeCell ref="H20:I20"/>
    <mergeCell ref="N20:O20"/>
    <mergeCell ref="H12:I12"/>
    <mergeCell ref="N12:O12"/>
    <mergeCell ref="B13:B14"/>
    <mergeCell ref="H13:I13"/>
    <mergeCell ref="N13:O13"/>
    <mergeCell ref="H14:I14"/>
    <mergeCell ref="N14:O14"/>
    <mergeCell ref="E6:G6"/>
    <mergeCell ref="H6:I6"/>
    <mergeCell ref="N6:O6"/>
    <mergeCell ref="A7:A20"/>
    <mergeCell ref="B7:B9"/>
    <mergeCell ref="H7:I7"/>
    <mergeCell ref="N7:O7"/>
    <mergeCell ref="H8:I8"/>
    <mergeCell ref="N8:O8"/>
    <mergeCell ref="H9:I9"/>
    <mergeCell ref="N9:O9"/>
    <mergeCell ref="B10:B11"/>
    <mergeCell ref="H10:I10"/>
    <mergeCell ref="N10:O10"/>
    <mergeCell ref="H11:I11"/>
    <mergeCell ref="N11:O11"/>
    <mergeCell ref="V5:X5"/>
    <mergeCell ref="A1:K1"/>
    <mergeCell ref="A2:K2"/>
    <mergeCell ref="B3:K3"/>
    <mergeCell ref="B4:K4"/>
    <mergeCell ref="B5:K5"/>
  </mergeCells>
  <phoneticPr fontId="17" type="noConversion"/>
  <conditionalFormatting sqref="K7:K20">
    <cfRule type="containsText" dxfId="35" priority="6" operator="containsText" text="NG">
      <formula>NOT(ISERROR(SEARCH("NG",K7)))</formula>
    </cfRule>
  </conditionalFormatting>
  <conditionalFormatting sqref="L10">
    <cfRule type="containsText" dxfId="34" priority="5" operator="containsText" text="NG">
      <formula>NOT(ISERROR(SEARCH("NG",L10)))</formula>
    </cfRule>
  </conditionalFormatting>
  <conditionalFormatting sqref="L12:L15">
    <cfRule type="containsText" dxfId="33" priority="4" operator="containsText" text="NG">
      <formula>NOT(ISERROR(SEARCH("NG",L12)))</formula>
    </cfRule>
  </conditionalFormatting>
  <conditionalFormatting sqref="L17:L18">
    <cfRule type="containsText" dxfId="32" priority="3" operator="containsText" text="NG">
      <formula>NOT(ISERROR(SEARCH("NG",L17)))</formula>
    </cfRule>
  </conditionalFormatting>
  <conditionalFormatting sqref="L7:M7 L20:M20">
    <cfRule type="containsText" dxfId="31" priority="7" operator="containsText" text="NG">
      <formula>NOT(ISERROR(SEARCH("NG",L7)))</formula>
    </cfRule>
  </conditionalFormatting>
  <conditionalFormatting sqref="M8:M19">
    <cfRule type="containsText" dxfId="30" priority="2" operator="containsText" text="NG">
      <formula>NOT(ISERROR(SEARCH("NG",M8)))</formula>
    </cfRule>
  </conditionalFormatting>
  <conditionalFormatting sqref="Q7:R20">
    <cfRule type="containsText" dxfId="29" priority="1" operator="containsText" text="NG">
      <formula>NOT(ISERROR(SEARCH("NG",Q7)))</formula>
    </cfRule>
  </conditionalFormatting>
  <conditionalFormatting sqref="T7:T20">
    <cfRule type="containsText" dxfId="28" priority="8" operator="containsText" text="NG">
      <formula>NOT(ISERROR(SEARCH("NG",T7)))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ED09-12B8-4135-BDE7-BF6E623FC391}">
  <sheetPr>
    <tabColor rgb="FF0070C0"/>
    <pageSetUpPr fitToPage="1"/>
  </sheetPr>
  <dimension ref="A1:X27"/>
  <sheetViews>
    <sheetView showGridLines="0" tabSelected="1" zoomScale="40" zoomScaleNormal="40" workbookViewId="0">
      <selection activeCell="X17" sqref="X17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11.125" style="14" customWidth="1"/>
    <col min="10" max="11" width="21.625" style="14" customWidth="1"/>
    <col min="12" max="12" width="21.625" style="91" customWidth="1"/>
    <col min="13" max="13" width="50.625" style="91" customWidth="1"/>
    <col min="14" max="15" width="11.125" style="91" customWidth="1"/>
    <col min="16" max="17" width="21.625" style="91" customWidth="1"/>
    <col min="18" max="18" width="30.625" style="91" hidden="1" customWidth="1"/>
    <col min="19" max="20" width="21.625" style="91" hidden="1" customWidth="1"/>
    <col min="21" max="21" width="21.625" style="17" hidden="1" customWidth="1"/>
    <col min="22" max="22" width="30.625" style="15" customWidth="1"/>
    <col min="23" max="24" width="30.625" style="17" customWidth="1"/>
    <col min="25" max="16384" width="9" style="17"/>
  </cols>
  <sheetData>
    <row r="1" spans="1:24" ht="27.75" customHeight="1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24" ht="50.25">
      <c r="A2" s="234" t="s">
        <v>0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</row>
    <row r="3" spans="1:24" ht="35.1" customHeight="1">
      <c r="A3" s="18" t="s">
        <v>1</v>
      </c>
      <c r="B3" s="279" t="s">
        <v>148</v>
      </c>
      <c r="C3" s="279"/>
      <c r="D3" s="279"/>
      <c r="E3" s="279"/>
      <c r="F3" s="279"/>
      <c r="G3" s="279"/>
      <c r="H3" s="279"/>
      <c r="I3" s="279"/>
      <c r="J3" s="279"/>
      <c r="K3" s="279"/>
    </row>
    <row r="4" spans="1:24" ht="35.1" customHeight="1">
      <c r="A4" s="18" t="s">
        <v>2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</row>
    <row r="5" spans="1:24" ht="35.1" customHeight="1">
      <c r="A5" s="18" t="s">
        <v>3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17"/>
      <c r="M5" s="17"/>
      <c r="N5" s="138" t="s">
        <v>140</v>
      </c>
      <c r="O5" s="139"/>
      <c r="P5" s="139"/>
      <c r="Q5" s="139"/>
      <c r="R5" s="17"/>
      <c r="S5" s="17"/>
      <c r="T5" s="17"/>
      <c r="V5" s="261" t="s">
        <v>158</v>
      </c>
      <c r="W5" s="261"/>
      <c r="X5" s="261"/>
    </row>
    <row r="6" spans="1:24" ht="35.1" customHeight="1">
      <c r="A6" s="18" t="s">
        <v>1</v>
      </c>
      <c r="B6" s="18" t="s">
        <v>234</v>
      </c>
      <c r="C6" s="20" t="s">
        <v>5</v>
      </c>
      <c r="D6" s="20" t="s">
        <v>6</v>
      </c>
      <c r="E6" s="281" t="s">
        <v>7</v>
      </c>
      <c r="F6" s="281"/>
      <c r="G6" s="281"/>
      <c r="H6" s="282" t="s">
        <v>8</v>
      </c>
      <c r="I6" s="283"/>
      <c r="J6" s="20" t="s">
        <v>9</v>
      </c>
      <c r="K6" s="20" t="s">
        <v>10</v>
      </c>
      <c r="L6" s="1" t="s">
        <v>11</v>
      </c>
      <c r="M6" s="2" t="s">
        <v>13</v>
      </c>
      <c r="N6" s="282" t="s">
        <v>8</v>
      </c>
      <c r="O6" s="283"/>
      <c r="P6" s="20" t="s">
        <v>9</v>
      </c>
      <c r="Q6" s="47" t="s">
        <v>10</v>
      </c>
      <c r="R6" s="2" t="s">
        <v>12</v>
      </c>
      <c r="S6" s="2" t="s">
        <v>14</v>
      </c>
      <c r="T6" s="2" t="s">
        <v>15</v>
      </c>
      <c r="U6" s="131" t="s">
        <v>105</v>
      </c>
      <c r="V6" s="161" t="s">
        <v>159</v>
      </c>
      <c r="W6" s="161" t="s">
        <v>160</v>
      </c>
      <c r="X6" s="161" t="s">
        <v>161</v>
      </c>
    </row>
    <row r="7" spans="1:24" ht="60" customHeight="1">
      <c r="A7" s="241" t="s">
        <v>177</v>
      </c>
      <c r="B7" s="281" t="s">
        <v>191</v>
      </c>
      <c r="C7" s="20" t="s">
        <v>222</v>
      </c>
      <c r="D7" s="18" t="s">
        <v>24</v>
      </c>
      <c r="E7" s="23">
        <v>18</v>
      </c>
      <c r="F7" s="24" t="s">
        <v>17</v>
      </c>
      <c r="G7" s="25">
        <v>22</v>
      </c>
      <c r="H7" s="284"/>
      <c r="I7" s="285"/>
      <c r="J7" s="124" t="str">
        <f>IF(H7="","",(1.12*H7*F!$B$4)*2)</f>
        <v/>
      </c>
      <c r="K7" s="25" t="str">
        <f>IF(J7="","",IF(OR(J7&lt;E7,J7&gt;G7),"NG","OK"))</f>
        <v/>
      </c>
      <c r="L7" s="2" t="str">
        <f>IF(J7="","",IF(J7&lt;T7,"添加",IF(J7&gt;U7,"稀釋","")))</f>
        <v/>
      </c>
      <c r="M7" s="144" t="str">
        <f>IFERROR(IF(J7&lt;T7,"KOH："&amp;ROUND(((T7-J7)*S7/0.6525/1000),1)&amp;" L",IF(J7&gt;U7,"排藥："&amp;ROUND((J7-U7)/J7*S7,1)&amp;" L"&amp;"
補水："&amp;ROUND((J7-U7)/J7*S7,1)&amp;" L","")),"")</f>
        <v/>
      </c>
      <c r="N7" s="286"/>
      <c r="O7" s="287"/>
      <c r="P7" s="124" t="str">
        <f>IF(N7="","",(1.12*N7*F!$B$4)*2)</f>
        <v/>
      </c>
      <c r="Q7" s="18" t="str">
        <f>IF(P7="","",IF(OR(P7&lt;E7,P7&gt;G7),"NG","OK"))</f>
        <v/>
      </c>
      <c r="R7" s="4" t="s">
        <v>107</v>
      </c>
      <c r="S7" s="2">
        <v>1000</v>
      </c>
      <c r="T7" s="2">
        <v>20</v>
      </c>
      <c r="U7" s="18">
        <v>22</v>
      </c>
    </row>
    <row r="8" spans="1:24" ht="60" customHeight="1">
      <c r="A8" s="242"/>
      <c r="B8" s="281"/>
      <c r="C8" s="197" t="s">
        <v>190</v>
      </c>
      <c r="D8" s="198" t="s">
        <v>25</v>
      </c>
      <c r="E8" s="199">
        <v>7</v>
      </c>
      <c r="F8" s="193" t="s">
        <v>17</v>
      </c>
      <c r="G8" s="200">
        <v>9</v>
      </c>
      <c r="H8" s="288" t="s">
        <v>28</v>
      </c>
      <c r="I8" s="289"/>
      <c r="J8" s="125"/>
      <c r="K8" s="25" t="str">
        <f t="shared" ref="K8:K20" si="0">IF(J8="","",IF(OR(J8&lt;E8,J8&gt;G8),"NG","OK"))</f>
        <v/>
      </c>
      <c r="L8" s="22" t="str">
        <f>IF(J8="","",IF(J8&gt;U8,"更槽",""))</f>
        <v/>
      </c>
      <c r="M8" s="144"/>
      <c r="N8" s="288" t="s">
        <v>28</v>
      </c>
      <c r="O8" s="289"/>
      <c r="P8" s="125"/>
      <c r="Q8" s="18" t="str">
        <f t="shared" ref="Q8:Q20" si="1">IF(P8="","",IF(OR(P8&lt;E8,P8&gt;G8),"NG","OK"))</f>
        <v/>
      </c>
      <c r="R8" s="2" t="s">
        <v>106</v>
      </c>
      <c r="S8" s="2">
        <v>1000</v>
      </c>
      <c r="T8" s="2" t="s">
        <v>73</v>
      </c>
      <c r="U8" s="18" t="s">
        <v>73</v>
      </c>
      <c r="V8" s="14" t="s">
        <v>183</v>
      </c>
      <c r="W8" s="160">
        <v>46204</v>
      </c>
      <c r="X8" s="160">
        <v>46295</v>
      </c>
    </row>
    <row r="9" spans="1:24" ht="60" customHeight="1">
      <c r="A9" s="242"/>
      <c r="B9" s="281"/>
      <c r="C9" s="192" t="s">
        <v>26</v>
      </c>
      <c r="D9" s="198" t="s">
        <v>27</v>
      </c>
      <c r="E9" s="199">
        <v>12.8</v>
      </c>
      <c r="F9" s="193" t="s">
        <v>17</v>
      </c>
      <c r="G9" s="200">
        <v>13.8</v>
      </c>
      <c r="H9" s="288" t="s">
        <v>28</v>
      </c>
      <c r="I9" s="289"/>
      <c r="J9" s="125"/>
      <c r="K9" s="25" t="str">
        <f t="shared" si="0"/>
        <v/>
      </c>
      <c r="L9" s="22" t="str">
        <f>IF(J9="","",IF(J9&gt;U9,"更槽",""))</f>
        <v/>
      </c>
      <c r="M9" s="144"/>
      <c r="N9" s="288" t="s">
        <v>28</v>
      </c>
      <c r="O9" s="289"/>
      <c r="P9" s="125"/>
      <c r="Q9" s="18" t="str">
        <f t="shared" si="1"/>
        <v/>
      </c>
      <c r="R9" s="2" t="s">
        <v>106</v>
      </c>
      <c r="S9" s="2">
        <v>1000</v>
      </c>
      <c r="T9" s="2" t="s">
        <v>73</v>
      </c>
      <c r="U9" s="18" t="s">
        <v>73</v>
      </c>
      <c r="V9" s="14" t="s">
        <v>183</v>
      </c>
      <c r="W9" s="160">
        <v>46204</v>
      </c>
      <c r="X9" s="160">
        <v>46295</v>
      </c>
    </row>
    <row r="10" spans="1:24" ht="60" customHeight="1">
      <c r="A10" s="242"/>
      <c r="B10" s="281" t="s">
        <v>39</v>
      </c>
      <c r="C10" s="26" t="s">
        <v>29</v>
      </c>
      <c r="D10" s="27" t="s">
        <v>30</v>
      </c>
      <c r="E10" s="28">
        <v>135</v>
      </c>
      <c r="F10" s="24" t="s">
        <v>17</v>
      </c>
      <c r="G10" s="29">
        <v>165</v>
      </c>
      <c r="H10" s="290"/>
      <c r="I10" s="291"/>
      <c r="J10" s="121" t="str">
        <f>IF(H10="","",(11.94*H10*F!$B$8))</f>
        <v/>
      </c>
      <c r="K10" s="25" t="str">
        <f t="shared" si="0"/>
        <v/>
      </c>
      <c r="L10" s="2" t="str">
        <f>IF(J10="","",IF(J10&lt;T10,"添加",IF(J10&gt;U10,"稀釋","")))</f>
        <v/>
      </c>
      <c r="M10" s="144" t="str">
        <f>IFERROR(IF(J10&lt;T10,"P200："&amp;ROUND(((T10-J10)*S10/1000),1)&amp;" L",IF(J10&gt;U10,"排藥："&amp;ROUND((J10-U10)/J10*S10,1)&amp;" L"&amp;"
補水："&amp;ROUND((J10-U10)/J10*S10,1)&amp;" L","")),"")</f>
        <v/>
      </c>
      <c r="N10" s="292"/>
      <c r="O10" s="293"/>
      <c r="P10" s="121" t="str">
        <f>IF(N10="","",(11.94*N10*F!$B$8))</f>
        <v/>
      </c>
      <c r="Q10" s="18" t="str">
        <f t="shared" si="1"/>
        <v/>
      </c>
      <c r="R10" s="4" t="s">
        <v>112</v>
      </c>
      <c r="S10" s="2">
        <v>600</v>
      </c>
      <c r="T10" s="2">
        <v>150</v>
      </c>
      <c r="U10" s="18">
        <v>165</v>
      </c>
    </row>
    <row r="11" spans="1:24" ht="60" customHeight="1">
      <c r="A11" s="242"/>
      <c r="B11" s="281"/>
      <c r="C11" s="18" t="s">
        <v>26</v>
      </c>
      <c r="D11" s="27" t="s">
        <v>40</v>
      </c>
      <c r="E11" s="28">
        <v>9.5</v>
      </c>
      <c r="F11" s="24" t="s">
        <v>17</v>
      </c>
      <c r="G11" s="29">
        <v>11</v>
      </c>
      <c r="H11" s="288" t="s">
        <v>28</v>
      </c>
      <c r="I11" s="289"/>
      <c r="J11" s="125"/>
      <c r="K11" s="25" t="str">
        <f t="shared" si="0"/>
        <v/>
      </c>
      <c r="L11" s="22" t="str">
        <f>IF(J11="","",IF(J11&gt;U11,"更槽",""))</f>
        <v/>
      </c>
      <c r="M11" s="144"/>
      <c r="N11" s="288" t="s">
        <v>28</v>
      </c>
      <c r="O11" s="289"/>
      <c r="P11" s="125"/>
      <c r="Q11" s="18" t="str">
        <f t="shared" si="1"/>
        <v/>
      </c>
      <c r="R11" s="2" t="s">
        <v>106</v>
      </c>
      <c r="S11" s="2">
        <v>600</v>
      </c>
      <c r="T11" s="2" t="s">
        <v>73</v>
      </c>
      <c r="U11" s="18" t="s">
        <v>73</v>
      </c>
    </row>
    <row r="12" spans="1:24" ht="60" customHeight="1">
      <c r="A12" s="242"/>
      <c r="B12" s="20" t="s">
        <v>41</v>
      </c>
      <c r="C12" s="26" t="s">
        <v>42</v>
      </c>
      <c r="D12" s="27" t="s">
        <v>43</v>
      </c>
      <c r="E12" s="28">
        <v>240</v>
      </c>
      <c r="F12" s="24" t="s">
        <v>17</v>
      </c>
      <c r="G12" s="29">
        <v>280</v>
      </c>
      <c r="H12" s="290"/>
      <c r="I12" s="291"/>
      <c r="J12" s="121" t="str">
        <f>IF(H12="","",42.14*H12*F!$B$3)</f>
        <v/>
      </c>
      <c r="K12" s="25" t="str">
        <f t="shared" si="0"/>
        <v/>
      </c>
      <c r="L12" s="2" t="str">
        <f>IF(J12&gt;T12,"","添加")</f>
        <v/>
      </c>
      <c r="M12" s="145" t="str">
        <f>IFERROR(IF(J12&lt;T12,"P300："&amp;ROUND(((T12-J12)*S12/1000),1)&amp;" L",IF(J12&gt;U12,"排藥："&amp;ROUND((J12-U12)/J12*S12,1)&amp;" L"&amp;"
補水："&amp;ROUND((J12-U12)/J12*S12,1)&amp;" L","")),"")</f>
        <v/>
      </c>
      <c r="N12" s="292"/>
      <c r="O12" s="293"/>
      <c r="P12" s="121" t="str">
        <f>IF(N12="","",42.14*N12*F!$B$3)</f>
        <v/>
      </c>
      <c r="Q12" s="18" t="str">
        <f t="shared" si="1"/>
        <v/>
      </c>
      <c r="R12" s="4" t="s">
        <v>130</v>
      </c>
      <c r="S12" s="2">
        <v>250</v>
      </c>
      <c r="T12" s="2">
        <v>260</v>
      </c>
      <c r="U12" s="18">
        <v>280</v>
      </c>
    </row>
    <row r="13" spans="1:24" ht="60" customHeight="1">
      <c r="A13" s="242"/>
      <c r="B13" s="281" t="s">
        <v>44</v>
      </c>
      <c r="C13" s="26" t="s">
        <v>45</v>
      </c>
      <c r="D13" s="27" t="s">
        <v>46</v>
      </c>
      <c r="E13" s="28">
        <v>30</v>
      </c>
      <c r="F13" s="24" t="s">
        <v>17</v>
      </c>
      <c r="G13" s="127">
        <v>999</v>
      </c>
      <c r="H13" s="290"/>
      <c r="I13" s="291"/>
      <c r="J13" s="121" t="str">
        <f>IF(H13="","",(H13*195.7)+1.7752)</f>
        <v/>
      </c>
      <c r="K13" s="25" t="str">
        <f t="shared" si="0"/>
        <v/>
      </c>
      <c r="L13" s="2" t="str">
        <f>IF(J13="","",IF(J13&lt;T13,"添加",IF(J13&gt;U13,"稀釋","")))</f>
        <v/>
      </c>
      <c r="M13" s="144" t="str">
        <f>IFERROR(IF(J13&lt;T13,"P400："&amp;ROUND(((T13-J13)*S13/1000),1)&amp;" L",IF(J13&gt;U13,"排藥："&amp;ROUND((J13-U13)/J13*S13,1)&amp;" L"&amp;"
補水："&amp;ROUND((J13-U13)/J13*S13,1)&amp;" L","")),"")</f>
        <v/>
      </c>
      <c r="N13" s="292"/>
      <c r="O13" s="293"/>
      <c r="P13" s="121" t="str">
        <f>IF(N13="","",(N13*195.7)+1.7752)</f>
        <v/>
      </c>
      <c r="Q13" s="18" t="str">
        <f t="shared" si="1"/>
        <v/>
      </c>
      <c r="R13" s="4" t="s">
        <v>108</v>
      </c>
      <c r="S13" s="2">
        <v>630</v>
      </c>
      <c r="T13" s="2">
        <v>31</v>
      </c>
      <c r="U13" s="18" t="s">
        <v>73</v>
      </c>
    </row>
    <row r="14" spans="1:24" ht="60" customHeight="1">
      <c r="A14" s="242"/>
      <c r="B14" s="281"/>
      <c r="C14" s="92" t="s">
        <v>225</v>
      </c>
      <c r="D14" s="27" t="s">
        <v>47</v>
      </c>
      <c r="E14" s="28">
        <v>5</v>
      </c>
      <c r="F14" s="24" t="s">
        <v>17</v>
      </c>
      <c r="G14" s="29">
        <v>25</v>
      </c>
      <c r="H14" s="290"/>
      <c r="I14" s="291"/>
      <c r="J14" s="121" t="str">
        <f>IF(H14="","",2.256*H14*F!$B$9)</f>
        <v/>
      </c>
      <c r="K14" s="25" t="str">
        <f t="shared" si="0"/>
        <v/>
      </c>
      <c r="L14" s="2" t="str">
        <f t="shared" ref="L14:L15" si="2">IF(J14="","",IF(J14&lt;T14,"添加",IF(J14&gt;U14,"稀釋","")))</f>
        <v/>
      </c>
      <c r="M14" s="144" t="str">
        <f>IFERROR(IF(J14&lt;T14,"安定劑："&amp;ROUND(((T14-J14)*S14/1000),1)&amp;" L",IF(J14&gt;U14,"排藥："&amp;ROUND((J14-U14)/J14*S14,1)&amp;" L"&amp;"
補水："&amp;ROUND((J14-U14)/J14*S14,1)&amp;" L","")),"")</f>
        <v/>
      </c>
      <c r="N14" s="292"/>
      <c r="O14" s="293"/>
      <c r="P14" s="121" t="str">
        <f>IF(N14="","",2.256*N14*F!$B$9)</f>
        <v/>
      </c>
      <c r="Q14" s="18" t="str">
        <f t="shared" si="1"/>
        <v/>
      </c>
      <c r="R14" s="2" t="s">
        <v>109</v>
      </c>
      <c r="S14" s="2">
        <v>630</v>
      </c>
      <c r="T14" s="2">
        <v>5</v>
      </c>
      <c r="U14" s="18" t="s">
        <v>73</v>
      </c>
    </row>
    <row r="15" spans="1:24" ht="60" customHeight="1">
      <c r="A15" s="242"/>
      <c r="B15" s="281" t="s">
        <v>31</v>
      </c>
      <c r="C15" s="26" t="s">
        <v>32</v>
      </c>
      <c r="D15" s="27" t="s">
        <v>33</v>
      </c>
      <c r="E15" s="28">
        <v>90</v>
      </c>
      <c r="F15" s="24" t="s">
        <v>17</v>
      </c>
      <c r="G15" s="29">
        <v>110</v>
      </c>
      <c r="H15" s="290"/>
      <c r="I15" s="291"/>
      <c r="J15" s="121" t="str">
        <f>IF(H15="","",7.24*H15*F!$B$3)</f>
        <v/>
      </c>
      <c r="K15" s="25" t="str">
        <f t="shared" si="0"/>
        <v/>
      </c>
      <c r="L15" s="2" t="str">
        <f t="shared" si="2"/>
        <v/>
      </c>
      <c r="M15" s="144" t="str">
        <f>IFERROR(IF(J15&lt;T15,"P500A："&amp;ROUND(((T15-J15)*S15/1000),1)&amp;" L",IF(J15&gt;U15,"排藥："&amp;ROUND((J15-U15)/J15*S15,1)&amp;" L"&amp;"
補水："&amp;ROUND((J15-U15)/J15*S15,1)&amp;" L","")),"")</f>
        <v/>
      </c>
      <c r="N15" s="292"/>
      <c r="O15" s="293"/>
      <c r="P15" s="121" t="str">
        <f>IF(N15="","",7.24*N15*F!$B$3)</f>
        <v/>
      </c>
      <c r="Q15" s="18" t="str">
        <f t="shared" si="1"/>
        <v/>
      </c>
      <c r="R15" s="4" t="s">
        <v>128</v>
      </c>
      <c r="S15" s="2">
        <v>600</v>
      </c>
      <c r="T15" s="2">
        <v>100</v>
      </c>
      <c r="U15" s="18">
        <v>110</v>
      </c>
    </row>
    <row r="16" spans="1:24" ht="60" customHeight="1">
      <c r="A16" s="242"/>
      <c r="B16" s="281"/>
      <c r="C16" s="92" t="s">
        <v>225</v>
      </c>
      <c r="D16" s="26" t="s">
        <v>34</v>
      </c>
      <c r="E16" s="120">
        <v>0</v>
      </c>
      <c r="F16" s="24" t="s">
        <v>17</v>
      </c>
      <c r="G16" s="29">
        <v>0.3</v>
      </c>
      <c r="H16" s="290"/>
      <c r="I16" s="291"/>
      <c r="J16" s="121" t="str">
        <f>IF(H16="","",2.256*H16*F!$B$9)</f>
        <v/>
      </c>
      <c r="K16" s="25" t="str">
        <f t="shared" si="0"/>
        <v/>
      </c>
      <c r="L16" s="22" t="str">
        <f>IF(J16="","",IF(J16&gt;U16,"更槽",""))</f>
        <v/>
      </c>
      <c r="M16" s="144"/>
      <c r="N16" s="292"/>
      <c r="O16" s="293"/>
      <c r="P16" s="121" t="str">
        <f>IF(N16="","",2.256*N16*F!$B$9)</f>
        <v/>
      </c>
      <c r="Q16" s="18" t="str">
        <f t="shared" si="1"/>
        <v/>
      </c>
      <c r="R16" s="4" t="s">
        <v>129</v>
      </c>
      <c r="S16" s="2">
        <v>600</v>
      </c>
      <c r="T16" s="2" t="s">
        <v>73</v>
      </c>
      <c r="U16" s="18" t="s">
        <v>73</v>
      </c>
    </row>
    <row r="17" spans="1:22" ht="60" customHeight="1">
      <c r="A17" s="242"/>
      <c r="B17" s="281" t="s">
        <v>48</v>
      </c>
      <c r="C17" s="92" t="s">
        <v>223</v>
      </c>
      <c r="D17" s="27" t="s">
        <v>35</v>
      </c>
      <c r="E17" s="28">
        <v>4.5999999999999996</v>
      </c>
      <c r="F17" s="24" t="s">
        <v>17</v>
      </c>
      <c r="G17" s="29">
        <v>5</v>
      </c>
      <c r="H17" s="290"/>
      <c r="I17" s="291"/>
      <c r="J17" s="121" t="str">
        <f>IF(H17="","",0.59*H17*F!$B$6)</f>
        <v/>
      </c>
      <c r="K17" s="25" t="str">
        <f t="shared" si="0"/>
        <v/>
      </c>
      <c r="L17" s="2" t="str">
        <f t="shared" ref="L17:L18" si="3">IF(J17="","",IF(J17&lt;T17,"添加",IF(J17&gt;U17,"稀釋","")))</f>
        <v/>
      </c>
      <c r="M17" s="144" t="str">
        <f>IFERROR(IF(J17&lt;T17,"A劑："&amp;ROUND(((T17-J17)*S17*9.2/1000),1)&amp;" L",IF(J17&gt;U17,"排藥："&amp;ROUND((J17-U17)/J17*S17,1)&amp;" L"&amp;"
補水："&amp;ROUND((J17-U17)/J17*S17,1)&amp;" L","")),"")</f>
        <v/>
      </c>
      <c r="N17" s="292"/>
      <c r="O17" s="293"/>
      <c r="P17" s="121" t="str">
        <f>IF(N17="","",0.59*N17*F!$B$6)</f>
        <v/>
      </c>
      <c r="Q17" s="18" t="str">
        <f t="shared" si="1"/>
        <v/>
      </c>
      <c r="R17" s="4" t="s">
        <v>113</v>
      </c>
      <c r="S17" s="2">
        <v>1200</v>
      </c>
      <c r="T17" s="2">
        <v>4.8</v>
      </c>
      <c r="U17" s="18">
        <v>5</v>
      </c>
    </row>
    <row r="18" spans="1:22" ht="60" customHeight="1">
      <c r="A18" s="242"/>
      <c r="B18" s="281"/>
      <c r="C18" s="92" t="s">
        <v>226</v>
      </c>
      <c r="D18" s="26" t="s">
        <v>37</v>
      </c>
      <c r="E18" s="224">
        <v>0</v>
      </c>
      <c r="F18" s="24" t="s">
        <v>17</v>
      </c>
      <c r="G18" s="25">
        <v>100</v>
      </c>
      <c r="H18" s="170"/>
      <c r="I18" s="137"/>
      <c r="J18" s="121" t="str">
        <f>IF(I18="","",(H18-I18)*10.08)</f>
        <v/>
      </c>
      <c r="K18" s="25" t="str">
        <f t="shared" si="0"/>
        <v/>
      </c>
      <c r="L18" s="2" t="str">
        <f t="shared" si="3"/>
        <v/>
      </c>
      <c r="M18" s="144" t="str">
        <f>IF(J18&lt;T18,"A劑："&amp;ROUND(((T18-J18)*S18*1.62/1000),1)&amp;" L",IF(J18&gt;U18,"排藥："&amp;ROUND((J18-U18)/J18*S18,1)&amp;" L"&amp;"
補水："&amp;ROUND((J18-U18)/J18*S18,1)&amp;" L",""))</f>
        <v/>
      </c>
      <c r="N18" s="141"/>
      <c r="O18" s="99"/>
      <c r="P18" s="121" t="str">
        <f>IF(O18="","",(N18-O18)*10.08)</f>
        <v/>
      </c>
      <c r="Q18" s="18" t="str">
        <f t="shared" si="1"/>
        <v/>
      </c>
      <c r="R18" s="4" t="s">
        <v>110</v>
      </c>
      <c r="S18" s="2">
        <v>1200</v>
      </c>
      <c r="T18" s="2">
        <v>18.5</v>
      </c>
      <c r="U18" s="18" t="s">
        <v>73</v>
      </c>
      <c r="V18" s="14"/>
    </row>
    <row r="19" spans="1:22" ht="60" customHeight="1">
      <c r="A19" s="242"/>
      <c r="B19" s="281"/>
      <c r="C19" s="20" t="s">
        <v>227</v>
      </c>
      <c r="D19" s="27" t="s">
        <v>36</v>
      </c>
      <c r="E19" s="28">
        <v>17</v>
      </c>
      <c r="F19" s="24" t="s">
        <v>17</v>
      </c>
      <c r="G19" s="29">
        <v>20</v>
      </c>
      <c r="H19" s="169"/>
      <c r="I19" s="137"/>
      <c r="J19" s="121" t="str">
        <f>IF(I19="","",(H19-I19)*2.65)</f>
        <v/>
      </c>
      <c r="K19" s="25" t="str">
        <f t="shared" si="0"/>
        <v/>
      </c>
      <c r="L19" s="22" t="str">
        <f>IF(J19="","",IF(J19&gt;U19,"更槽",""))</f>
        <v/>
      </c>
      <c r="M19" s="144"/>
      <c r="N19" s="140"/>
      <c r="O19" s="99"/>
      <c r="P19" s="121" t="str">
        <f>IF(O19="","",(N19-O19)*2.65)</f>
        <v/>
      </c>
      <c r="Q19" s="18" t="str">
        <f t="shared" si="1"/>
        <v/>
      </c>
      <c r="R19" s="4" t="s">
        <v>131</v>
      </c>
      <c r="S19" s="2">
        <v>1200</v>
      </c>
      <c r="T19" s="2" t="s">
        <v>73</v>
      </c>
      <c r="U19" s="18" t="s">
        <v>73</v>
      </c>
      <c r="V19" s="14"/>
    </row>
    <row r="20" spans="1:22" ht="60" customHeight="1">
      <c r="A20" s="242"/>
      <c r="B20" s="281"/>
      <c r="C20" s="18" t="s">
        <v>26</v>
      </c>
      <c r="D20" s="18" t="s">
        <v>38</v>
      </c>
      <c r="E20" s="23">
        <v>8.3000000000000007</v>
      </c>
      <c r="F20" s="24" t="s">
        <v>17</v>
      </c>
      <c r="G20" s="25">
        <v>8.6999999999999993</v>
      </c>
      <c r="H20" s="288" t="s">
        <v>28</v>
      </c>
      <c r="I20" s="289"/>
      <c r="J20" s="126"/>
      <c r="K20" s="25" t="str">
        <f t="shared" si="0"/>
        <v/>
      </c>
      <c r="L20" s="2" t="str">
        <f>IF(J20="","",IF(J20&gt;T20,"","添加"))</f>
        <v/>
      </c>
      <c r="M20" s="144" t="str">
        <f>IF(J20="","",IF(J20&lt;T20,"氨水："&amp;ROUND(((T20-J20)*S20*16.5/1000),1)&amp;" L",""))</f>
        <v/>
      </c>
      <c r="N20" s="288" t="s">
        <v>28</v>
      </c>
      <c r="O20" s="289"/>
      <c r="P20" s="126"/>
      <c r="Q20" s="18" t="str">
        <f t="shared" si="1"/>
        <v/>
      </c>
      <c r="R20" s="4" t="s">
        <v>111</v>
      </c>
      <c r="S20" s="2">
        <v>1200</v>
      </c>
      <c r="T20" s="2">
        <v>8.5</v>
      </c>
      <c r="U20" s="18" t="s">
        <v>73</v>
      </c>
    </row>
    <row r="21" spans="1:22" ht="18" customHeight="1">
      <c r="A21" s="33" t="s">
        <v>19</v>
      </c>
      <c r="B21" s="34"/>
      <c r="C21" s="34"/>
      <c r="D21" s="34"/>
      <c r="E21" s="34"/>
      <c r="F21" s="34"/>
      <c r="G21" s="34"/>
      <c r="H21" s="34"/>
      <c r="I21" s="34"/>
      <c r="J21" s="34"/>
      <c r="K21" s="31"/>
    </row>
    <row r="22" spans="1:22" ht="18" customHeight="1">
      <c r="A22" s="19"/>
      <c r="B22" s="15"/>
      <c r="D22" s="15"/>
      <c r="E22" s="15"/>
      <c r="F22" s="15"/>
      <c r="G22" s="15"/>
      <c r="H22" s="15"/>
      <c r="I22" s="15"/>
      <c r="J22" s="15"/>
      <c r="K22" s="36"/>
    </row>
    <row r="23" spans="1:22" ht="18" customHeight="1">
      <c r="A23" s="272"/>
      <c r="B23" s="273"/>
      <c r="C23" s="274"/>
      <c r="D23" s="274"/>
      <c r="E23" s="274"/>
      <c r="F23" s="274"/>
      <c r="G23" s="274"/>
      <c r="H23" s="274"/>
      <c r="I23" s="274"/>
      <c r="J23" s="274"/>
      <c r="K23" s="275"/>
    </row>
    <row r="24" spans="1:22" s="16" customFormat="1" ht="18" customHeight="1">
      <c r="A24" s="276"/>
      <c r="B24" s="277"/>
      <c r="C24" s="277"/>
      <c r="D24" s="277"/>
      <c r="E24" s="277"/>
      <c r="F24" s="277"/>
      <c r="G24" s="277"/>
      <c r="H24" s="277"/>
      <c r="I24" s="277"/>
      <c r="J24" s="277"/>
      <c r="K24" s="278"/>
      <c r="L24" s="91"/>
      <c r="M24" s="91"/>
      <c r="N24" s="91"/>
      <c r="O24" s="91"/>
      <c r="P24" s="91"/>
      <c r="Q24" s="91"/>
      <c r="R24" s="91"/>
      <c r="S24" s="91"/>
      <c r="T24" s="91"/>
      <c r="V24" s="14"/>
    </row>
    <row r="25" spans="1:22" s="16" customFormat="1" ht="18" customHeight="1">
      <c r="A25" s="37" t="s">
        <v>21</v>
      </c>
      <c r="B25" s="14"/>
      <c r="C25" s="38" t="s">
        <v>22</v>
      </c>
      <c r="D25" s="14"/>
      <c r="E25" s="14"/>
      <c r="F25" s="14"/>
      <c r="G25" s="14"/>
      <c r="H25" s="38"/>
      <c r="I25" s="38" t="s">
        <v>23</v>
      </c>
      <c r="J25" s="14"/>
      <c r="K25" s="14"/>
      <c r="L25" s="91"/>
      <c r="M25" s="91"/>
      <c r="N25" s="91"/>
      <c r="O25" s="91"/>
      <c r="P25" s="91"/>
      <c r="Q25" s="91"/>
      <c r="R25" s="91"/>
      <c r="S25" s="91"/>
      <c r="T25" s="91"/>
      <c r="V25" s="14"/>
    </row>
    <row r="26" spans="1:22" s="16" customFormat="1" ht="18" customHeight="1">
      <c r="A26" s="14"/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91"/>
      <c r="M26" s="91"/>
      <c r="N26" s="91"/>
      <c r="O26" s="91"/>
      <c r="P26" s="91"/>
      <c r="Q26" s="91"/>
      <c r="R26" s="91"/>
      <c r="S26" s="91"/>
      <c r="T26" s="91"/>
      <c r="V26" s="14"/>
    </row>
    <row r="27" spans="1:22" s="16" customFormat="1" ht="18" customHeight="1">
      <c r="A27" s="14"/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91"/>
      <c r="M27" s="91"/>
      <c r="N27" s="91"/>
      <c r="O27" s="91"/>
      <c r="P27" s="91"/>
      <c r="Q27" s="91"/>
      <c r="R27" s="91"/>
      <c r="S27" s="91"/>
      <c r="T27" s="91"/>
      <c r="V27" s="14"/>
    </row>
  </sheetData>
  <sheetProtection algorithmName="SHA-512" hashValue="7ltHxruvJdu1g49tqa+MBeQRRdUeY0CNDjcwG1xfnpcxHZicn14/Hi0hKt41F62LG4UbYHjGeEyA7W7OmHcBXQ==" saltValue="fSim+GD+Sdw3jQNjws+9sg==" spinCount="100000" sheet="1" objects="1" scenarios="1"/>
  <mergeCells count="40">
    <mergeCell ref="A1:K1"/>
    <mergeCell ref="A2:K2"/>
    <mergeCell ref="B3:K3"/>
    <mergeCell ref="B4:K4"/>
    <mergeCell ref="B5:K5"/>
    <mergeCell ref="B10:B11"/>
    <mergeCell ref="E6:G6"/>
    <mergeCell ref="H6:I6"/>
    <mergeCell ref="H10:I10"/>
    <mergeCell ref="N10:O10"/>
    <mergeCell ref="H11:I11"/>
    <mergeCell ref="N11:O11"/>
    <mergeCell ref="A23:K24"/>
    <mergeCell ref="B13:B14"/>
    <mergeCell ref="H13:I13"/>
    <mergeCell ref="N13:O13"/>
    <mergeCell ref="H14:I14"/>
    <mergeCell ref="N14:O14"/>
    <mergeCell ref="B15:B16"/>
    <mergeCell ref="H15:I15"/>
    <mergeCell ref="N15:O15"/>
    <mergeCell ref="H16:I16"/>
    <mergeCell ref="N16:O16"/>
    <mergeCell ref="B17:B20"/>
    <mergeCell ref="H17:I17"/>
    <mergeCell ref="N17:O17"/>
    <mergeCell ref="A7:A20"/>
    <mergeCell ref="B7:B9"/>
    <mergeCell ref="V5:X5"/>
    <mergeCell ref="H20:I20"/>
    <mergeCell ref="N20:O20"/>
    <mergeCell ref="H12:I12"/>
    <mergeCell ref="N12:O12"/>
    <mergeCell ref="N6:O6"/>
    <mergeCell ref="H7:I7"/>
    <mergeCell ref="N7:O7"/>
    <mergeCell ref="H8:I8"/>
    <mergeCell ref="N8:O8"/>
    <mergeCell ref="H9:I9"/>
    <mergeCell ref="N9:O9"/>
  </mergeCells>
  <phoneticPr fontId="17" type="noConversion"/>
  <conditionalFormatting sqref="K7:K20">
    <cfRule type="containsText" dxfId="19" priority="6" operator="containsText" text="NG">
      <formula>NOT(ISERROR(SEARCH("NG",K7)))</formula>
    </cfRule>
  </conditionalFormatting>
  <conditionalFormatting sqref="L10">
    <cfRule type="containsText" dxfId="18" priority="5" operator="containsText" text="NG">
      <formula>NOT(ISERROR(SEARCH("NG",L10)))</formula>
    </cfRule>
  </conditionalFormatting>
  <conditionalFormatting sqref="L12:L15">
    <cfRule type="containsText" dxfId="17" priority="4" operator="containsText" text="NG">
      <formula>NOT(ISERROR(SEARCH("NG",L12)))</formula>
    </cfRule>
  </conditionalFormatting>
  <conditionalFormatting sqref="L17:L18">
    <cfRule type="containsText" dxfId="16" priority="3" operator="containsText" text="NG">
      <formula>NOT(ISERROR(SEARCH("NG",L17)))</formula>
    </cfRule>
  </conditionalFormatting>
  <conditionalFormatting sqref="L7:M7 L20:M20">
    <cfRule type="containsText" dxfId="15" priority="7" operator="containsText" text="NG">
      <formula>NOT(ISERROR(SEARCH("NG",L7)))</formula>
    </cfRule>
  </conditionalFormatting>
  <conditionalFormatting sqref="M8:M19">
    <cfRule type="containsText" dxfId="14" priority="2" operator="containsText" text="NG">
      <formula>NOT(ISERROR(SEARCH("NG",M8)))</formula>
    </cfRule>
  </conditionalFormatting>
  <conditionalFormatting sqref="Q7:R20">
    <cfRule type="containsText" dxfId="13" priority="1" operator="containsText" text="NG">
      <formula>NOT(ISERROR(SEARCH("NG",Q7)))</formula>
    </cfRule>
  </conditionalFormatting>
  <conditionalFormatting sqref="T7:T20">
    <cfRule type="containsText" dxfId="12" priority="8" operator="containsText" text="NG">
      <formula>NOT(ISERROR(SEARCH("NG",T7)))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F33B-590C-40E5-AB2D-79CCC97D0E91}">
  <sheetPr>
    <tabColor rgb="FF0070C0"/>
    <pageSetUpPr fitToPage="1"/>
  </sheetPr>
  <dimension ref="A1:X27"/>
  <sheetViews>
    <sheetView showGridLines="0" zoomScale="40" zoomScaleNormal="40" workbookViewId="0">
      <selection activeCell="P19" sqref="P19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11.125" style="14" customWidth="1"/>
    <col min="10" max="11" width="21.625" style="14" customWidth="1"/>
    <col min="12" max="12" width="21.625" style="91" customWidth="1"/>
    <col min="13" max="13" width="50.625" style="91" customWidth="1"/>
    <col min="14" max="15" width="11.125" style="91" customWidth="1"/>
    <col min="16" max="17" width="21.625" style="91" customWidth="1"/>
    <col min="18" max="18" width="30.625" style="91" hidden="1" customWidth="1"/>
    <col min="19" max="20" width="21.625" style="91" hidden="1" customWidth="1"/>
    <col min="21" max="21" width="21.625" style="17" hidden="1" customWidth="1"/>
    <col min="22" max="22" width="30.625" style="15" customWidth="1"/>
    <col min="23" max="24" width="30.625" style="17" customWidth="1"/>
    <col min="25" max="16384" width="9" style="17"/>
  </cols>
  <sheetData>
    <row r="1" spans="1:24" ht="27.75" customHeight="1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24" ht="50.25">
      <c r="A2" s="234" t="s">
        <v>0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</row>
    <row r="3" spans="1:24" ht="35.1" customHeight="1">
      <c r="A3" s="18" t="s">
        <v>1</v>
      </c>
      <c r="B3" s="279" t="s">
        <v>148</v>
      </c>
      <c r="C3" s="279"/>
      <c r="D3" s="279"/>
      <c r="E3" s="279"/>
      <c r="F3" s="279"/>
      <c r="G3" s="279"/>
      <c r="H3" s="279"/>
      <c r="I3" s="279"/>
      <c r="J3" s="279"/>
      <c r="K3" s="279"/>
    </row>
    <row r="4" spans="1:24" ht="35.1" customHeight="1">
      <c r="A4" s="18" t="s">
        <v>2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</row>
    <row r="5" spans="1:24" ht="35.1" customHeight="1">
      <c r="A5" s="18" t="s">
        <v>3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17"/>
      <c r="M5" s="17"/>
      <c r="N5" s="138" t="s">
        <v>140</v>
      </c>
      <c r="O5" s="139"/>
      <c r="P5" s="139"/>
      <c r="Q5" s="139"/>
      <c r="R5" s="17"/>
      <c r="S5" s="17"/>
      <c r="T5" s="17"/>
      <c r="V5" s="261" t="s">
        <v>158</v>
      </c>
      <c r="W5" s="261"/>
      <c r="X5" s="261"/>
    </row>
    <row r="6" spans="1:24" ht="35.1" customHeight="1">
      <c r="A6" s="18" t="s">
        <v>1</v>
      </c>
      <c r="B6" s="18" t="s">
        <v>234</v>
      </c>
      <c r="C6" s="20" t="s">
        <v>5</v>
      </c>
      <c r="D6" s="20" t="s">
        <v>6</v>
      </c>
      <c r="E6" s="281" t="s">
        <v>7</v>
      </c>
      <c r="F6" s="281"/>
      <c r="G6" s="281"/>
      <c r="H6" s="282" t="s">
        <v>8</v>
      </c>
      <c r="I6" s="283"/>
      <c r="J6" s="20" t="s">
        <v>9</v>
      </c>
      <c r="K6" s="20" t="s">
        <v>10</v>
      </c>
      <c r="L6" s="1" t="s">
        <v>11</v>
      </c>
      <c r="M6" s="2" t="s">
        <v>13</v>
      </c>
      <c r="N6" s="282" t="s">
        <v>8</v>
      </c>
      <c r="O6" s="283"/>
      <c r="P6" s="20" t="s">
        <v>9</v>
      </c>
      <c r="Q6" s="47" t="s">
        <v>10</v>
      </c>
      <c r="R6" s="2" t="s">
        <v>12</v>
      </c>
      <c r="S6" s="2" t="s">
        <v>14</v>
      </c>
      <c r="T6" s="2" t="s">
        <v>15</v>
      </c>
      <c r="U6" s="131" t="s">
        <v>105</v>
      </c>
      <c r="V6" s="161" t="s">
        <v>159</v>
      </c>
      <c r="W6" s="161" t="s">
        <v>160</v>
      </c>
      <c r="X6" s="161" t="s">
        <v>161</v>
      </c>
    </row>
    <row r="7" spans="1:24" ht="60" customHeight="1">
      <c r="A7" s="241" t="s">
        <v>177</v>
      </c>
      <c r="B7" s="281" t="s">
        <v>191</v>
      </c>
      <c r="C7" s="20" t="s">
        <v>222</v>
      </c>
      <c r="D7" s="18" t="s">
        <v>24</v>
      </c>
      <c r="E7" s="23">
        <v>18</v>
      </c>
      <c r="F7" s="24" t="s">
        <v>17</v>
      </c>
      <c r="G7" s="25">
        <v>22</v>
      </c>
      <c r="H7" s="284"/>
      <c r="I7" s="285"/>
      <c r="J7" s="124" t="str">
        <f>IF(H7="","",(1.12*H7*F!$B$4)*2)</f>
        <v/>
      </c>
      <c r="K7" s="25" t="str">
        <f>IF(J7="","",IF(OR(J7&lt;E7,J7&gt;G7),"NG","OK"))</f>
        <v/>
      </c>
      <c r="L7" s="2" t="str">
        <f>IF(J7="","",IF(J7&lt;T7,"添加",IF(J7&gt;U7,"稀釋","")))</f>
        <v/>
      </c>
      <c r="M7" s="144" t="str">
        <f>IFERROR(IF(J7&lt;T7,"KOH："&amp;ROUND(((T7-J7)*S7/0.6525/1000),1)&amp;" L",IF(J7&gt;U7,"排藥："&amp;ROUND((J7-U7)/J7*S7,1)&amp;" L"&amp;"
補水："&amp;ROUND((J7-U7)/J7*S7,1)&amp;" L","")),"")</f>
        <v/>
      </c>
      <c r="N7" s="286"/>
      <c r="O7" s="287"/>
      <c r="P7" s="124" t="str">
        <f>IF(N7="","",(1.12*N7*F!$B$4)*2)</f>
        <v/>
      </c>
      <c r="Q7" s="18" t="str">
        <f>IF(P7="","",IF(OR(P7&lt;E7,P7&gt;G7),"NG","OK"))</f>
        <v/>
      </c>
      <c r="R7" s="4" t="s">
        <v>107</v>
      </c>
      <c r="S7" s="2">
        <v>1000</v>
      </c>
      <c r="T7" s="2">
        <v>20</v>
      </c>
      <c r="U7" s="18">
        <v>22</v>
      </c>
      <c r="V7" s="14"/>
      <c r="W7" s="196"/>
      <c r="X7" s="196"/>
    </row>
    <row r="8" spans="1:24" ht="60" customHeight="1">
      <c r="A8" s="242"/>
      <c r="B8" s="281"/>
      <c r="C8" s="197" t="s">
        <v>190</v>
      </c>
      <c r="D8" s="198" t="s">
        <v>25</v>
      </c>
      <c r="E8" s="199">
        <v>7</v>
      </c>
      <c r="F8" s="193" t="s">
        <v>17</v>
      </c>
      <c r="G8" s="200">
        <v>9</v>
      </c>
      <c r="H8" s="288" t="s">
        <v>28</v>
      </c>
      <c r="I8" s="289"/>
      <c r="J8" s="125"/>
      <c r="K8" s="25" t="str">
        <f t="shared" ref="K8:K20" si="0">IF(J8="","",IF(OR(J8&lt;E8,J8&gt;G8),"NG","OK"))</f>
        <v/>
      </c>
      <c r="L8" s="22" t="str">
        <f>IF(J8="","",IF(J8&gt;U8,"更槽",""))</f>
        <v/>
      </c>
      <c r="M8" s="144"/>
      <c r="N8" s="288" t="s">
        <v>28</v>
      </c>
      <c r="O8" s="289"/>
      <c r="P8" s="125"/>
      <c r="Q8" s="18" t="str">
        <f t="shared" ref="Q8:Q20" si="1">IF(P8="","",IF(OR(P8&lt;E8,P8&gt;G8),"NG","OK"))</f>
        <v/>
      </c>
      <c r="R8" s="2" t="s">
        <v>106</v>
      </c>
      <c r="S8" s="2">
        <v>1000</v>
      </c>
      <c r="T8" s="2" t="s">
        <v>73</v>
      </c>
      <c r="U8" s="18" t="s">
        <v>73</v>
      </c>
      <c r="V8" s="14" t="s">
        <v>183</v>
      </c>
      <c r="W8" s="160">
        <v>46204</v>
      </c>
      <c r="X8" s="160">
        <v>46295</v>
      </c>
    </row>
    <row r="9" spans="1:24" ht="60" customHeight="1">
      <c r="A9" s="242"/>
      <c r="B9" s="281"/>
      <c r="C9" s="192" t="s">
        <v>26</v>
      </c>
      <c r="D9" s="198" t="s">
        <v>27</v>
      </c>
      <c r="E9" s="199">
        <v>12.8</v>
      </c>
      <c r="F9" s="193" t="s">
        <v>17</v>
      </c>
      <c r="G9" s="200">
        <v>13.8</v>
      </c>
      <c r="H9" s="288" t="s">
        <v>28</v>
      </c>
      <c r="I9" s="289"/>
      <c r="J9" s="125"/>
      <c r="K9" s="25" t="str">
        <f t="shared" si="0"/>
        <v/>
      </c>
      <c r="L9" s="22" t="str">
        <f>IF(J9="","",IF(J9&gt;U9,"更槽",""))</f>
        <v/>
      </c>
      <c r="M9" s="144"/>
      <c r="N9" s="288" t="s">
        <v>28</v>
      </c>
      <c r="O9" s="289"/>
      <c r="P9" s="125"/>
      <c r="Q9" s="18" t="str">
        <f t="shared" si="1"/>
        <v/>
      </c>
      <c r="R9" s="2" t="s">
        <v>106</v>
      </c>
      <c r="S9" s="2">
        <v>1000</v>
      </c>
      <c r="T9" s="2" t="s">
        <v>73</v>
      </c>
      <c r="U9" s="18" t="s">
        <v>73</v>
      </c>
      <c r="V9" s="14" t="s">
        <v>183</v>
      </c>
      <c r="W9" s="160">
        <v>46204</v>
      </c>
      <c r="X9" s="160">
        <v>46295</v>
      </c>
    </row>
    <row r="10" spans="1:24" ht="60" customHeight="1">
      <c r="A10" s="242"/>
      <c r="B10" s="281" t="s">
        <v>39</v>
      </c>
      <c r="C10" s="26" t="s">
        <v>29</v>
      </c>
      <c r="D10" s="27" t="s">
        <v>30</v>
      </c>
      <c r="E10" s="28">
        <v>135</v>
      </c>
      <c r="F10" s="24" t="s">
        <v>17</v>
      </c>
      <c r="G10" s="29">
        <v>165</v>
      </c>
      <c r="H10" s="290"/>
      <c r="I10" s="291"/>
      <c r="J10" s="121" t="str">
        <f>IF(H10="","",(11.94*H10*F!$B$8))</f>
        <v/>
      </c>
      <c r="K10" s="25" t="str">
        <f t="shared" si="0"/>
        <v/>
      </c>
      <c r="L10" s="2" t="str">
        <f>IF(J10="","",IF(J10&lt;T10,"添加",IF(J10&gt;U10,"稀釋","")))</f>
        <v/>
      </c>
      <c r="M10" s="144" t="str">
        <f>IFERROR(IF(J10&lt;T10,"P200："&amp;ROUND(((T10-J10)*S10/1000),1)&amp;" L",IF(J10&gt;U10,"排藥："&amp;ROUND((J10-U10)/J10*S10,1)&amp;" L"&amp;"
補水："&amp;ROUND((J10-U10)/J10*S10,1)&amp;" L","")),"")</f>
        <v/>
      </c>
      <c r="N10" s="292"/>
      <c r="O10" s="293"/>
      <c r="P10" s="121" t="str">
        <f>IF(N10="","",(11.94*N10*F!$B$8))</f>
        <v/>
      </c>
      <c r="Q10" s="18" t="str">
        <f t="shared" si="1"/>
        <v/>
      </c>
      <c r="R10" s="4" t="s">
        <v>112</v>
      </c>
      <c r="S10" s="2">
        <v>600</v>
      </c>
      <c r="T10" s="2">
        <v>150</v>
      </c>
      <c r="U10" s="18">
        <v>165</v>
      </c>
      <c r="V10" s="14"/>
      <c r="W10" s="196"/>
      <c r="X10" s="196"/>
    </row>
    <row r="11" spans="1:24" ht="60" customHeight="1">
      <c r="A11" s="242"/>
      <c r="B11" s="281"/>
      <c r="C11" s="18" t="s">
        <v>26</v>
      </c>
      <c r="D11" s="27" t="s">
        <v>40</v>
      </c>
      <c r="E11" s="28">
        <v>9.5</v>
      </c>
      <c r="F11" s="24" t="s">
        <v>17</v>
      </c>
      <c r="G11" s="29">
        <v>11</v>
      </c>
      <c r="H11" s="288" t="s">
        <v>28</v>
      </c>
      <c r="I11" s="289"/>
      <c r="J11" s="125"/>
      <c r="K11" s="25" t="str">
        <f t="shared" si="0"/>
        <v/>
      </c>
      <c r="L11" s="22" t="str">
        <f>IF(J11="","",IF(J11&gt;U11,"更槽",""))</f>
        <v/>
      </c>
      <c r="M11" s="144"/>
      <c r="N11" s="288" t="s">
        <v>28</v>
      </c>
      <c r="O11" s="289"/>
      <c r="P11" s="125"/>
      <c r="Q11" s="18" t="str">
        <f t="shared" si="1"/>
        <v/>
      </c>
      <c r="R11" s="2" t="s">
        <v>106</v>
      </c>
      <c r="S11" s="2">
        <v>600</v>
      </c>
      <c r="T11" s="2" t="s">
        <v>73</v>
      </c>
      <c r="U11" s="18" t="s">
        <v>73</v>
      </c>
      <c r="V11" s="14"/>
      <c r="W11" s="196"/>
      <c r="X11" s="196"/>
    </row>
    <row r="12" spans="1:24" ht="60" customHeight="1">
      <c r="A12" s="242"/>
      <c r="B12" s="20" t="s">
        <v>41</v>
      </c>
      <c r="C12" s="26" t="s">
        <v>42</v>
      </c>
      <c r="D12" s="27" t="s">
        <v>43</v>
      </c>
      <c r="E12" s="28">
        <v>240</v>
      </c>
      <c r="F12" s="24" t="s">
        <v>17</v>
      </c>
      <c r="G12" s="29">
        <v>280</v>
      </c>
      <c r="H12" s="290"/>
      <c r="I12" s="291"/>
      <c r="J12" s="121" t="str">
        <f>IF(H12="","",42.14*H12*F!$B$3)</f>
        <v/>
      </c>
      <c r="K12" s="25" t="str">
        <f t="shared" si="0"/>
        <v/>
      </c>
      <c r="L12" s="2" t="str">
        <f>IF(J12&gt;T12,"","添加")</f>
        <v/>
      </c>
      <c r="M12" s="145" t="str">
        <f>IFERROR(IF(J12&lt;T12,"P300："&amp;ROUND(((T12-J12)*S12/1000),1)&amp;" L",IF(J12&gt;U12,"排藥："&amp;ROUND((J12-U12)/J12*S12,1)&amp;" L"&amp;"
補水："&amp;ROUND((J12-U12)/J12*S12,1)&amp;" L","")),"")</f>
        <v/>
      </c>
      <c r="N12" s="292"/>
      <c r="O12" s="293"/>
      <c r="P12" s="121" t="str">
        <f>IF(N12="","",42.14*N12*F!$B$3)</f>
        <v/>
      </c>
      <c r="Q12" s="18" t="str">
        <f t="shared" si="1"/>
        <v/>
      </c>
      <c r="R12" s="4" t="s">
        <v>130</v>
      </c>
      <c r="S12" s="2">
        <v>250</v>
      </c>
      <c r="T12" s="2">
        <v>260</v>
      </c>
      <c r="U12" s="18">
        <v>280</v>
      </c>
      <c r="V12" s="14"/>
      <c r="W12" s="196"/>
      <c r="X12" s="196"/>
    </row>
    <row r="13" spans="1:24" ht="60" customHeight="1">
      <c r="A13" s="242"/>
      <c r="B13" s="281" t="s">
        <v>44</v>
      </c>
      <c r="C13" s="26" t="s">
        <v>45</v>
      </c>
      <c r="D13" s="27" t="s">
        <v>46</v>
      </c>
      <c r="E13" s="28">
        <v>30</v>
      </c>
      <c r="F13" s="24" t="s">
        <v>17</v>
      </c>
      <c r="G13" s="127">
        <v>999</v>
      </c>
      <c r="H13" s="290"/>
      <c r="I13" s="291"/>
      <c r="J13" s="121" t="str">
        <f>IF(H13="","",(H13*195.7)+1.7752)</f>
        <v/>
      </c>
      <c r="K13" s="25" t="str">
        <f t="shared" si="0"/>
        <v/>
      </c>
      <c r="L13" s="2" t="str">
        <f>IF(J13="","",IF(J13&lt;T13,"添加",IF(J13&gt;U13,"稀釋","")))</f>
        <v/>
      </c>
      <c r="M13" s="144" t="str">
        <f>IFERROR(IF(J13&lt;T13,"P400："&amp;ROUND(((T13-J13)*S13/1000),1)&amp;" L",IF(J13&gt;U13,"排藥："&amp;ROUND((J13-U13)/J13*S13,1)&amp;" L"&amp;"
補水："&amp;ROUND((J13-U13)/J13*S13,1)&amp;" L","")),"")</f>
        <v/>
      </c>
      <c r="N13" s="292"/>
      <c r="O13" s="293"/>
      <c r="P13" s="121" t="str">
        <f>IF(N13="","",(N13*195.7)+1.7752)</f>
        <v/>
      </c>
      <c r="Q13" s="18" t="str">
        <f t="shared" si="1"/>
        <v/>
      </c>
      <c r="R13" s="4" t="s">
        <v>108</v>
      </c>
      <c r="S13" s="2">
        <v>630</v>
      </c>
      <c r="T13" s="2">
        <v>31</v>
      </c>
      <c r="U13" s="18" t="s">
        <v>73</v>
      </c>
      <c r="V13" s="14"/>
      <c r="W13" s="196"/>
      <c r="X13" s="196"/>
    </row>
    <row r="14" spans="1:24" ht="60" customHeight="1">
      <c r="A14" s="242"/>
      <c r="B14" s="281"/>
      <c r="C14" s="92" t="s">
        <v>225</v>
      </c>
      <c r="D14" s="27" t="s">
        <v>47</v>
      </c>
      <c r="E14" s="28">
        <v>5</v>
      </c>
      <c r="F14" s="24" t="s">
        <v>17</v>
      </c>
      <c r="G14" s="29">
        <v>25</v>
      </c>
      <c r="H14" s="290"/>
      <c r="I14" s="291"/>
      <c r="J14" s="121" t="str">
        <f>IF(H14="","",2.256*H14*F!$B$9)</f>
        <v/>
      </c>
      <c r="K14" s="25" t="str">
        <f t="shared" si="0"/>
        <v/>
      </c>
      <c r="L14" s="2" t="str">
        <f t="shared" ref="L14:L15" si="2">IF(J14="","",IF(J14&lt;T14,"添加",IF(J14&gt;U14,"稀釋","")))</f>
        <v/>
      </c>
      <c r="M14" s="144" t="str">
        <f>IFERROR(IF(J14&lt;T14,"安定劑："&amp;ROUND(((T14-J14)*S14/1000),1)&amp;" L",IF(J14&gt;U14,"排藥："&amp;ROUND((J14-U14)/J14*S14,1)&amp;" L"&amp;"
補水："&amp;ROUND((J14-U14)/J14*S14,1)&amp;" L","")),"")</f>
        <v/>
      </c>
      <c r="N14" s="292"/>
      <c r="O14" s="293"/>
      <c r="P14" s="121" t="str">
        <f>IF(N14="","",2.256*N14*F!$B$9)</f>
        <v/>
      </c>
      <c r="Q14" s="18" t="str">
        <f t="shared" si="1"/>
        <v/>
      </c>
      <c r="R14" s="2" t="s">
        <v>109</v>
      </c>
      <c r="S14" s="2">
        <v>630</v>
      </c>
      <c r="T14" s="2">
        <v>5</v>
      </c>
      <c r="U14" s="18" t="s">
        <v>73</v>
      </c>
      <c r="V14" s="14"/>
      <c r="W14" s="196"/>
      <c r="X14" s="196"/>
    </row>
    <row r="15" spans="1:24" ht="60" customHeight="1">
      <c r="A15" s="242"/>
      <c r="B15" s="281" t="s">
        <v>31</v>
      </c>
      <c r="C15" s="26" t="s">
        <v>32</v>
      </c>
      <c r="D15" s="27" t="s">
        <v>33</v>
      </c>
      <c r="E15" s="28">
        <v>90</v>
      </c>
      <c r="F15" s="24" t="s">
        <v>17</v>
      </c>
      <c r="G15" s="29">
        <v>110</v>
      </c>
      <c r="H15" s="290"/>
      <c r="I15" s="291"/>
      <c r="J15" s="121" t="str">
        <f>IF(H15="","",7.24*H15*F!$B$3)</f>
        <v/>
      </c>
      <c r="K15" s="25" t="str">
        <f t="shared" si="0"/>
        <v/>
      </c>
      <c r="L15" s="2" t="str">
        <f t="shared" si="2"/>
        <v/>
      </c>
      <c r="M15" s="144" t="str">
        <f>IFERROR(IF(J15&lt;T15,"P500A："&amp;ROUND(((T15-J15)*S15/1000),1)&amp;" L",IF(J15&gt;U15,"排藥："&amp;ROUND((J15-U15)/J15*S15,1)&amp;" L"&amp;"
補水："&amp;ROUND((J15-U15)/J15*S15,1)&amp;" L","")),"")</f>
        <v/>
      </c>
      <c r="N15" s="292"/>
      <c r="O15" s="293"/>
      <c r="P15" s="121" t="str">
        <f>IF(N15="","",7.24*N15*F!$B$3)</f>
        <v/>
      </c>
      <c r="Q15" s="18" t="str">
        <f t="shared" si="1"/>
        <v/>
      </c>
      <c r="R15" s="4" t="s">
        <v>128</v>
      </c>
      <c r="S15" s="2">
        <v>600</v>
      </c>
      <c r="T15" s="2">
        <v>100</v>
      </c>
      <c r="U15" s="18">
        <v>110</v>
      </c>
      <c r="V15" s="14"/>
      <c r="W15" s="196"/>
      <c r="X15" s="196"/>
    </row>
    <row r="16" spans="1:24" ht="60" customHeight="1">
      <c r="A16" s="242"/>
      <c r="B16" s="281"/>
      <c r="C16" s="92" t="s">
        <v>225</v>
      </c>
      <c r="D16" s="26" t="s">
        <v>34</v>
      </c>
      <c r="E16" s="120">
        <v>0</v>
      </c>
      <c r="F16" s="24" t="s">
        <v>17</v>
      </c>
      <c r="G16" s="29">
        <v>0.3</v>
      </c>
      <c r="H16" s="290"/>
      <c r="I16" s="291"/>
      <c r="J16" s="121" t="str">
        <f>IF(H16="","",2.256*H16*F!$B$9)</f>
        <v/>
      </c>
      <c r="K16" s="25" t="str">
        <f t="shared" si="0"/>
        <v/>
      </c>
      <c r="L16" s="22" t="str">
        <f>IF(J16="","",IF(J16&gt;U16,"更槽",""))</f>
        <v/>
      </c>
      <c r="M16" s="144"/>
      <c r="N16" s="292"/>
      <c r="O16" s="293"/>
      <c r="P16" s="121" t="str">
        <f>IF(N16="","",2.256*N16*F!$B$9)</f>
        <v/>
      </c>
      <c r="Q16" s="18" t="str">
        <f t="shared" si="1"/>
        <v/>
      </c>
      <c r="R16" s="4" t="s">
        <v>129</v>
      </c>
      <c r="S16" s="2">
        <v>600</v>
      </c>
      <c r="T16" s="2" t="s">
        <v>73</v>
      </c>
      <c r="U16" s="18" t="s">
        <v>73</v>
      </c>
      <c r="V16" s="14"/>
      <c r="W16" s="196"/>
      <c r="X16" s="196"/>
    </row>
    <row r="17" spans="1:24" ht="60" customHeight="1">
      <c r="A17" s="242"/>
      <c r="B17" s="281" t="s">
        <v>48</v>
      </c>
      <c r="C17" s="92" t="s">
        <v>223</v>
      </c>
      <c r="D17" s="27" t="s">
        <v>35</v>
      </c>
      <c r="E17" s="28">
        <v>4.5999999999999996</v>
      </c>
      <c r="F17" s="24" t="s">
        <v>17</v>
      </c>
      <c r="G17" s="29">
        <v>5</v>
      </c>
      <c r="H17" s="290"/>
      <c r="I17" s="291"/>
      <c r="J17" s="121" t="str">
        <f>IF(H17="","",0.59*H17*F!$B$6)</f>
        <v/>
      </c>
      <c r="K17" s="25" t="str">
        <f t="shared" si="0"/>
        <v/>
      </c>
      <c r="L17" s="2" t="str">
        <f t="shared" ref="L17:L18" si="3">IF(J17="","",IF(J17&lt;T17,"添加",IF(J17&gt;U17,"稀釋","")))</f>
        <v/>
      </c>
      <c r="M17" s="144" t="str">
        <f>IFERROR(IF(J17&lt;T17,"A劑："&amp;ROUND(((T17-J17)*S17*9.2/1000),1)&amp;" L",IF(J17&gt;U17,"排藥："&amp;ROUND((J17-U17)/J17*S17,1)&amp;" L"&amp;"
補水："&amp;ROUND((J17-U17)/J17*S17,1)&amp;" L","")),"")</f>
        <v/>
      </c>
      <c r="N17" s="292"/>
      <c r="O17" s="293"/>
      <c r="P17" s="121" t="str">
        <f>IF(N17="","",0.59*N17*F!$B$6)</f>
        <v/>
      </c>
      <c r="Q17" s="18" t="str">
        <f t="shared" si="1"/>
        <v/>
      </c>
      <c r="R17" s="4" t="s">
        <v>113</v>
      </c>
      <c r="S17" s="2">
        <v>1200</v>
      </c>
      <c r="T17" s="2">
        <v>4.8</v>
      </c>
      <c r="U17" s="18">
        <v>5</v>
      </c>
      <c r="V17" s="14"/>
      <c r="W17" s="196"/>
      <c r="X17" s="196"/>
    </row>
    <row r="18" spans="1:24" ht="60" customHeight="1">
      <c r="A18" s="242"/>
      <c r="B18" s="281"/>
      <c r="C18" s="92" t="s">
        <v>226</v>
      </c>
      <c r="D18" s="26" t="s">
        <v>37</v>
      </c>
      <c r="E18" s="224">
        <v>0</v>
      </c>
      <c r="F18" s="24" t="s">
        <v>17</v>
      </c>
      <c r="G18" s="25">
        <v>100</v>
      </c>
      <c r="H18" s="170"/>
      <c r="I18" s="137"/>
      <c r="J18" s="121" t="str">
        <f>IF(I18="","",(H18-I18)*10.08)</f>
        <v/>
      </c>
      <c r="K18" s="25" t="str">
        <f t="shared" si="0"/>
        <v/>
      </c>
      <c r="L18" s="2" t="str">
        <f t="shared" si="3"/>
        <v/>
      </c>
      <c r="M18" s="144" t="str">
        <f>IF(J18&lt;T18,"A劑："&amp;ROUND(((T18-J18)*S18*1.62/1000),1)&amp;" L",IF(J18&gt;U18,"排藥："&amp;ROUND((J18-U18)/J18*S18,1)&amp;" L"&amp;"
補水："&amp;ROUND((J18-U18)/J18*S18,1)&amp;" L",""))</f>
        <v/>
      </c>
      <c r="N18" s="141"/>
      <c r="O18" s="99"/>
      <c r="P18" s="121" t="str">
        <f>IF(O18="","",(N18-O18)*10.08)</f>
        <v/>
      </c>
      <c r="Q18" s="18" t="str">
        <f t="shared" si="1"/>
        <v/>
      </c>
      <c r="R18" s="4" t="s">
        <v>110</v>
      </c>
      <c r="S18" s="2">
        <v>1200</v>
      </c>
      <c r="T18" s="2">
        <v>18.5</v>
      </c>
      <c r="U18" s="18" t="s">
        <v>73</v>
      </c>
      <c r="V18" s="14"/>
      <c r="W18" s="196"/>
      <c r="X18" s="196"/>
    </row>
    <row r="19" spans="1:24" ht="60" customHeight="1">
      <c r="A19" s="242"/>
      <c r="B19" s="281"/>
      <c r="C19" s="20" t="s">
        <v>227</v>
      </c>
      <c r="D19" s="27" t="s">
        <v>36</v>
      </c>
      <c r="E19" s="28">
        <v>17</v>
      </c>
      <c r="F19" s="24" t="s">
        <v>17</v>
      </c>
      <c r="G19" s="29">
        <v>20</v>
      </c>
      <c r="H19" s="169"/>
      <c r="I19" s="137"/>
      <c r="J19" s="121" t="str">
        <f>IF(I19="","",(H19-I19)*2.65)</f>
        <v/>
      </c>
      <c r="K19" s="25" t="str">
        <f t="shared" si="0"/>
        <v/>
      </c>
      <c r="L19" s="22" t="str">
        <f>IF(J19="","",IF(J19&gt;U19,"更槽",""))</f>
        <v/>
      </c>
      <c r="M19" s="144"/>
      <c r="N19" s="140"/>
      <c r="O19" s="99"/>
      <c r="P19" s="121" t="str">
        <f>IF(O19="","",(N19-O19)*2.65)</f>
        <v/>
      </c>
      <c r="Q19" s="18" t="str">
        <f t="shared" si="1"/>
        <v/>
      </c>
      <c r="R19" s="4" t="s">
        <v>131</v>
      </c>
      <c r="S19" s="2">
        <v>1200</v>
      </c>
      <c r="T19" s="2" t="s">
        <v>73</v>
      </c>
      <c r="U19" s="18" t="s">
        <v>73</v>
      </c>
      <c r="V19" s="14"/>
      <c r="W19" s="196"/>
      <c r="X19" s="196"/>
    </row>
    <row r="20" spans="1:24" ht="60" customHeight="1">
      <c r="A20" s="242"/>
      <c r="B20" s="281"/>
      <c r="C20" s="18" t="s">
        <v>26</v>
      </c>
      <c r="D20" s="18" t="s">
        <v>38</v>
      </c>
      <c r="E20" s="23">
        <v>8.3000000000000007</v>
      </c>
      <c r="F20" s="24" t="s">
        <v>17</v>
      </c>
      <c r="G20" s="25">
        <v>8.6999999999999993</v>
      </c>
      <c r="H20" s="288" t="s">
        <v>28</v>
      </c>
      <c r="I20" s="289"/>
      <c r="J20" s="126"/>
      <c r="K20" s="25" t="str">
        <f t="shared" si="0"/>
        <v/>
      </c>
      <c r="L20" s="2" t="str">
        <f>IF(J20="","",IF(J20&gt;T20,"","添加"))</f>
        <v/>
      </c>
      <c r="M20" s="144" t="str">
        <f>IF(J20="","",IF(J20&lt;T20,"氨水："&amp;ROUND(((T20-J20)*S20*16.5/1000),1)&amp;" L",""))</f>
        <v/>
      </c>
      <c r="N20" s="288" t="s">
        <v>28</v>
      </c>
      <c r="O20" s="289"/>
      <c r="P20" s="126"/>
      <c r="Q20" s="18" t="str">
        <f t="shared" si="1"/>
        <v/>
      </c>
      <c r="R20" s="4" t="s">
        <v>111</v>
      </c>
      <c r="S20" s="2">
        <v>1200</v>
      </c>
      <c r="T20" s="2">
        <v>8.5</v>
      </c>
      <c r="U20" s="18" t="s">
        <v>73</v>
      </c>
      <c r="V20" s="14"/>
      <c r="W20" s="196"/>
      <c r="X20" s="196"/>
    </row>
    <row r="21" spans="1:24" ht="18" customHeight="1">
      <c r="A21" s="33" t="s">
        <v>19</v>
      </c>
      <c r="B21" s="34"/>
      <c r="C21" s="34"/>
      <c r="D21" s="34"/>
      <c r="E21" s="34"/>
      <c r="F21" s="34"/>
      <c r="G21" s="34"/>
      <c r="H21" s="34"/>
      <c r="I21" s="34"/>
      <c r="J21" s="34"/>
      <c r="K21" s="31"/>
    </row>
    <row r="22" spans="1:24" ht="18" customHeight="1">
      <c r="A22" s="19"/>
      <c r="B22" s="15"/>
      <c r="D22" s="15"/>
      <c r="E22" s="15"/>
      <c r="F22" s="15"/>
      <c r="G22" s="15"/>
      <c r="H22" s="15"/>
      <c r="I22" s="15"/>
      <c r="J22" s="15"/>
      <c r="K22" s="36"/>
    </row>
    <row r="23" spans="1:24" ht="18" customHeight="1">
      <c r="A23" s="272"/>
      <c r="B23" s="273"/>
      <c r="C23" s="274"/>
      <c r="D23" s="274"/>
      <c r="E23" s="274"/>
      <c r="F23" s="274"/>
      <c r="G23" s="274"/>
      <c r="H23" s="274"/>
      <c r="I23" s="274"/>
      <c r="J23" s="274"/>
      <c r="K23" s="275"/>
    </row>
    <row r="24" spans="1:24" s="16" customFormat="1" ht="18" customHeight="1">
      <c r="A24" s="276"/>
      <c r="B24" s="277"/>
      <c r="C24" s="277"/>
      <c r="D24" s="277"/>
      <c r="E24" s="277"/>
      <c r="F24" s="277"/>
      <c r="G24" s="277"/>
      <c r="H24" s="277"/>
      <c r="I24" s="277"/>
      <c r="J24" s="277"/>
      <c r="K24" s="278"/>
      <c r="L24" s="91"/>
      <c r="M24" s="91"/>
      <c r="N24" s="91"/>
      <c r="O24" s="91"/>
      <c r="P24" s="91"/>
      <c r="Q24" s="91"/>
      <c r="R24" s="91"/>
      <c r="S24" s="91"/>
      <c r="T24" s="91"/>
      <c r="V24" s="14"/>
    </row>
    <row r="25" spans="1:24" s="16" customFormat="1" ht="18" customHeight="1">
      <c r="A25" s="37" t="s">
        <v>21</v>
      </c>
      <c r="B25" s="14"/>
      <c r="C25" s="38" t="s">
        <v>22</v>
      </c>
      <c r="D25" s="14"/>
      <c r="E25" s="14"/>
      <c r="F25" s="14"/>
      <c r="G25" s="14"/>
      <c r="H25" s="38"/>
      <c r="I25" s="38" t="s">
        <v>23</v>
      </c>
      <c r="J25" s="14"/>
      <c r="K25" s="14"/>
      <c r="L25" s="91"/>
      <c r="M25" s="91"/>
      <c r="N25" s="91"/>
      <c r="O25" s="91"/>
      <c r="P25" s="91"/>
      <c r="Q25" s="91"/>
      <c r="R25" s="91"/>
      <c r="S25" s="91"/>
      <c r="T25" s="91"/>
      <c r="V25" s="14"/>
    </row>
    <row r="26" spans="1:24" s="16" customFormat="1" ht="18" customHeight="1">
      <c r="A26" s="14"/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91"/>
      <c r="M26" s="91"/>
      <c r="N26" s="91"/>
      <c r="O26" s="91"/>
      <c r="P26" s="91"/>
      <c r="Q26" s="91"/>
      <c r="R26" s="91"/>
      <c r="S26" s="91"/>
      <c r="T26" s="91"/>
      <c r="V26" s="14"/>
    </row>
    <row r="27" spans="1:24" s="16" customFormat="1" ht="18" customHeight="1">
      <c r="A27" s="14"/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91"/>
      <c r="M27" s="91"/>
      <c r="N27" s="91"/>
      <c r="O27" s="91"/>
      <c r="P27" s="91"/>
      <c r="Q27" s="91"/>
      <c r="R27" s="91"/>
      <c r="S27" s="91"/>
      <c r="T27" s="91"/>
      <c r="V27" s="14"/>
    </row>
  </sheetData>
  <sheetProtection algorithmName="SHA-512" hashValue="5h0/3HYcH6p1rAxOHfHKcMif/fuwosOXz/kbR1/igdGDBhdi/qv5kFmh7H8sDkgmiujGay7o4bt/m2hFILrheA==" saltValue="kEEfkJypM24YVpE9LVg7bw==" spinCount="100000" sheet="1" objects="1" scenarios="1"/>
  <mergeCells count="40">
    <mergeCell ref="A1:K1"/>
    <mergeCell ref="A2:K2"/>
    <mergeCell ref="B3:K3"/>
    <mergeCell ref="B4:K4"/>
    <mergeCell ref="B5:K5"/>
    <mergeCell ref="B10:B11"/>
    <mergeCell ref="E6:G6"/>
    <mergeCell ref="H6:I6"/>
    <mergeCell ref="H10:I10"/>
    <mergeCell ref="N10:O10"/>
    <mergeCell ref="H11:I11"/>
    <mergeCell ref="N11:O11"/>
    <mergeCell ref="A23:K24"/>
    <mergeCell ref="B13:B14"/>
    <mergeCell ref="H13:I13"/>
    <mergeCell ref="N13:O13"/>
    <mergeCell ref="H14:I14"/>
    <mergeCell ref="N14:O14"/>
    <mergeCell ref="B15:B16"/>
    <mergeCell ref="H15:I15"/>
    <mergeCell ref="N15:O15"/>
    <mergeCell ref="H16:I16"/>
    <mergeCell ref="N16:O16"/>
    <mergeCell ref="B17:B20"/>
    <mergeCell ref="H17:I17"/>
    <mergeCell ref="N17:O17"/>
    <mergeCell ref="A7:A20"/>
    <mergeCell ref="B7:B9"/>
    <mergeCell ref="V5:X5"/>
    <mergeCell ref="H20:I20"/>
    <mergeCell ref="N20:O20"/>
    <mergeCell ref="H12:I12"/>
    <mergeCell ref="N12:O12"/>
    <mergeCell ref="N6:O6"/>
    <mergeCell ref="H7:I7"/>
    <mergeCell ref="N7:O7"/>
    <mergeCell ref="H8:I8"/>
    <mergeCell ref="N8:O8"/>
    <mergeCell ref="H9:I9"/>
    <mergeCell ref="N9:O9"/>
  </mergeCells>
  <phoneticPr fontId="17" type="noConversion"/>
  <conditionalFormatting sqref="K7:K20">
    <cfRule type="containsText" dxfId="27" priority="6" operator="containsText" text="NG">
      <formula>NOT(ISERROR(SEARCH("NG",K7)))</formula>
    </cfRule>
  </conditionalFormatting>
  <conditionalFormatting sqref="L10">
    <cfRule type="containsText" dxfId="26" priority="5" operator="containsText" text="NG">
      <formula>NOT(ISERROR(SEARCH("NG",L10)))</formula>
    </cfRule>
  </conditionalFormatting>
  <conditionalFormatting sqref="L12:L15">
    <cfRule type="containsText" dxfId="25" priority="4" operator="containsText" text="NG">
      <formula>NOT(ISERROR(SEARCH("NG",L12)))</formula>
    </cfRule>
  </conditionalFormatting>
  <conditionalFormatting sqref="L17:L18">
    <cfRule type="containsText" dxfId="24" priority="3" operator="containsText" text="NG">
      <formula>NOT(ISERROR(SEARCH("NG",L17)))</formula>
    </cfRule>
  </conditionalFormatting>
  <conditionalFormatting sqref="L7:M7 L20:M20">
    <cfRule type="containsText" dxfId="23" priority="7" operator="containsText" text="NG">
      <formula>NOT(ISERROR(SEARCH("NG",L7)))</formula>
    </cfRule>
  </conditionalFormatting>
  <conditionalFormatting sqref="M8:M19">
    <cfRule type="containsText" dxfId="22" priority="2" operator="containsText" text="NG">
      <formula>NOT(ISERROR(SEARCH("NG",M8)))</formula>
    </cfRule>
  </conditionalFormatting>
  <conditionalFormatting sqref="Q7:R20">
    <cfRule type="containsText" dxfId="21" priority="1" operator="containsText" text="NG">
      <formula>NOT(ISERROR(SEARCH("NG",Q7)))</formula>
    </cfRule>
  </conditionalFormatting>
  <conditionalFormatting sqref="T7:T20">
    <cfRule type="containsText" dxfId="20" priority="8" operator="containsText" text="NG">
      <formula>NOT(ISERROR(SEARCH("NG",T7)))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T23"/>
  <sheetViews>
    <sheetView showGridLines="0" zoomScale="40" zoomScaleNormal="40" workbookViewId="0">
      <selection activeCell="K17" sqref="K17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6" customWidth="1"/>
    <col min="12" max="12" width="50.625" style="17" customWidth="1"/>
    <col min="13" max="15" width="21.625" style="17" customWidth="1"/>
    <col min="16" max="16" width="30.625" style="16" hidden="1" customWidth="1"/>
    <col min="17" max="17" width="21.625" style="16" hidden="1" customWidth="1"/>
    <col min="18" max="19" width="21.625" style="17" hidden="1" customWidth="1"/>
    <col min="20" max="20" width="30.625" style="14" customWidth="1"/>
    <col min="21" max="22" width="30.625" style="17" customWidth="1"/>
    <col min="23" max="16384" width="9" style="17"/>
  </cols>
  <sheetData>
    <row r="1" spans="1:19" ht="27.75" customHeight="1">
      <c r="A1" s="233"/>
      <c r="B1" s="233"/>
      <c r="C1" s="233"/>
      <c r="D1" s="233"/>
      <c r="E1" s="233"/>
      <c r="F1" s="233"/>
      <c r="G1" s="233"/>
      <c r="H1" s="233"/>
      <c r="I1" s="233"/>
    </row>
    <row r="2" spans="1:19" ht="50.25">
      <c r="A2" s="234" t="s">
        <v>0</v>
      </c>
      <c r="B2" s="234"/>
      <c r="C2" s="234"/>
      <c r="D2" s="234"/>
      <c r="E2" s="234"/>
      <c r="F2" s="234"/>
      <c r="G2" s="234"/>
      <c r="H2" s="234"/>
      <c r="I2" s="234"/>
      <c r="J2" s="234"/>
    </row>
    <row r="3" spans="1:19" ht="35.1" customHeight="1">
      <c r="A3" s="18" t="s">
        <v>1</v>
      </c>
      <c r="B3" s="235" t="s">
        <v>149</v>
      </c>
      <c r="C3" s="236"/>
      <c r="D3" s="236"/>
      <c r="E3" s="236"/>
      <c r="F3" s="236"/>
      <c r="G3" s="236"/>
      <c r="H3" s="236"/>
      <c r="I3" s="236"/>
      <c r="J3" s="237"/>
    </row>
    <row r="4" spans="1:19" ht="35.1" customHeight="1">
      <c r="A4" s="18" t="s">
        <v>2</v>
      </c>
      <c r="B4" s="294"/>
      <c r="C4" s="295"/>
      <c r="D4" s="295"/>
      <c r="E4" s="295"/>
      <c r="F4" s="295"/>
      <c r="G4" s="295"/>
      <c r="H4" s="295"/>
      <c r="I4" s="295"/>
      <c r="J4" s="296"/>
    </row>
    <row r="5" spans="1:19" ht="35.1" customHeight="1">
      <c r="A5" s="18" t="s">
        <v>3</v>
      </c>
      <c r="B5" s="235"/>
      <c r="C5" s="236"/>
      <c r="D5" s="236"/>
      <c r="E5" s="236"/>
      <c r="F5" s="236"/>
      <c r="G5" s="236"/>
      <c r="H5" s="236"/>
      <c r="I5" s="236"/>
      <c r="J5" s="237"/>
      <c r="K5" s="19"/>
      <c r="M5" s="138" t="s">
        <v>140</v>
      </c>
      <c r="N5" s="138"/>
      <c r="O5" s="138"/>
      <c r="P5" s="15"/>
      <c r="Q5" s="15"/>
    </row>
    <row r="6" spans="1:19" ht="35.1" customHeight="1">
      <c r="A6" s="46" t="s">
        <v>1</v>
      </c>
      <c r="B6" s="18" t="s">
        <v>234</v>
      </c>
      <c r="C6" s="47" t="s">
        <v>5</v>
      </c>
      <c r="D6" s="47" t="s">
        <v>6</v>
      </c>
      <c r="E6" s="238" t="s">
        <v>7</v>
      </c>
      <c r="F6" s="239"/>
      <c r="G6" s="240"/>
      <c r="H6" s="47" t="s">
        <v>8</v>
      </c>
      <c r="I6" s="48" t="s">
        <v>9</v>
      </c>
      <c r="J6" s="47" t="s">
        <v>10</v>
      </c>
      <c r="K6" s="1" t="s">
        <v>11</v>
      </c>
      <c r="L6" s="22" t="s">
        <v>13</v>
      </c>
      <c r="M6" s="47" t="s">
        <v>8</v>
      </c>
      <c r="N6" s="47" t="s">
        <v>9</v>
      </c>
      <c r="O6" s="47" t="s">
        <v>10</v>
      </c>
      <c r="P6" s="2" t="s">
        <v>12</v>
      </c>
      <c r="Q6" s="2" t="s">
        <v>14</v>
      </c>
      <c r="R6" s="2" t="s">
        <v>15</v>
      </c>
      <c r="S6" s="18" t="s">
        <v>58</v>
      </c>
    </row>
    <row r="7" spans="1:19" ht="60" customHeight="1">
      <c r="A7" s="241" t="s">
        <v>176</v>
      </c>
      <c r="B7" s="297" t="s">
        <v>192</v>
      </c>
      <c r="C7" s="166" t="s">
        <v>228</v>
      </c>
      <c r="D7" s="27" t="s">
        <v>49</v>
      </c>
      <c r="E7" s="23">
        <v>165</v>
      </c>
      <c r="F7" s="24" t="s">
        <v>17</v>
      </c>
      <c r="G7" s="25">
        <v>205</v>
      </c>
      <c r="H7" s="167"/>
      <c r="I7" s="3" t="str">
        <f>IF(H7="","",H7*24.5*F!$B$3)</f>
        <v/>
      </c>
      <c r="J7" s="18" t="str">
        <f>IF(I7="","",IF(OR(I7&lt;E7,I7&gt;G7),"NG","OK"))</f>
        <v/>
      </c>
      <c r="K7" s="2" t="str">
        <f>IF(I7="","",IF(I7&lt;R7,"添加",IF(I7&gt;S7,"稀釋","")))</f>
        <v/>
      </c>
      <c r="L7" s="144" t="str">
        <f>IFERROR(IF(I7&lt;R7,"硫酸(50%)："&amp;ROUND(((R7-I7)*Q7/0.714/1000),1)&amp;" L",IF(I7="","",IF(I7&gt;S7,"通知工程師",""))),"")</f>
        <v/>
      </c>
      <c r="M7" s="9"/>
      <c r="N7" s="79" t="str">
        <f>IF(M7="","",M7*24.5*F!$B$3)</f>
        <v/>
      </c>
      <c r="O7" s="18" t="str">
        <f>IF(N7="","",IF(OR(N7&lt;E7,N7&gt;G7),"NG","OK"))</f>
        <v/>
      </c>
      <c r="P7" s="2" t="s">
        <v>136</v>
      </c>
      <c r="Q7" s="2">
        <v>1900</v>
      </c>
      <c r="R7" s="2">
        <v>185</v>
      </c>
      <c r="S7" s="18">
        <v>205</v>
      </c>
    </row>
    <row r="8" spans="1:19" ht="60" customHeight="1">
      <c r="A8" s="242"/>
      <c r="B8" s="298"/>
      <c r="C8" s="158" t="s">
        <v>229</v>
      </c>
      <c r="D8" s="27" t="s">
        <v>50</v>
      </c>
      <c r="E8" s="88">
        <v>45</v>
      </c>
      <c r="F8" s="24" t="s">
        <v>17</v>
      </c>
      <c r="G8" s="29">
        <v>65</v>
      </c>
      <c r="H8" s="167"/>
      <c r="I8" s="3" t="str">
        <f>IF(H8="","",H8*6.25*F!$B$6)</f>
        <v/>
      </c>
      <c r="J8" s="18" t="str">
        <f t="shared" ref="J8:J16" si="0">IF(I8="","",IF(OR(I8&lt;E8,I8&gt;G8),"NG","OK"))</f>
        <v/>
      </c>
      <c r="K8" s="2" t="str">
        <f t="shared" ref="K8:K9" si="1">IF(I8="","",IF(I8&lt;R8,"添加",IF(I8&gt;S8,"稀釋","")))</f>
        <v/>
      </c>
      <c r="L8" s="144" t="str">
        <f>IFERROR(IF(I8&lt;R8,"氧化銅粉："&amp;ROUND(((R8-I8)*Q8/1000),1)&amp;" Kg",IF(I8="","",IF(I8&gt;S8,"通知工程師",""))),"")</f>
        <v/>
      </c>
      <c r="M8" s="9"/>
      <c r="N8" s="3" t="str">
        <f>IF(M8="","",M8*6.24*F!$B$6)</f>
        <v/>
      </c>
      <c r="O8" s="18" t="str">
        <f t="shared" ref="O8:O16" si="2">IF(N8="","",IF(OR(N8&lt;E8,N8&gt;G8),"NG","OK"))</f>
        <v/>
      </c>
      <c r="P8" s="2" t="s">
        <v>118</v>
      </c>
      <c r="Q8" s="2">
        <v>1900</v>
      </c>
      <c r="R8" s="2">
        <v>55</v>
      </c>
      <c r="S8" s="18">
        <v>65</v>
      </c>
    </row>
    <row r="9" spans="1:19" ht="60" customHeight="1">
      <c r="A9" s="242"/>
      <c r="B9" s="298"/>
      <c r="C9" s="158" t="s">
        <v>230</v>
      </c>
      <c r="D9" s="80" t="s">
        <v>16</v>
      </c>
      <c r="E9" s="23">
        <v>30</v>
      </c>
      <c r="F9" s="24" t="s">
        <v>17</v>
      </c>
      <c r="G9" s="25">
        <v>60</v>
      </c>
      <c r="H9" s="167"/>
      <c r="I9" s="3" t="str">
        <f>IF(H9="","",H9*152)</f>
        <v/>
      </c>
      <c r="J9" s="18" t="str">
        <f t="shared" si="0"/>
        <v/>
      </c>
      <c r="K9" s="2" t="str">
        <f t="shared" si="1"/>
        <v/>
      </c>
      <c r="L9" s="144" t="str">
        <f>IF(I9&lt;R9,"鹽酸38%："&amp;ROUND((((R9-I9)/1000000)*Q9*0.36*1000),1)&amp;" ml",IF(I9="","",IF(I9&gt;S9,"通知工程師","")))</f>
        <v/>
      </c>
      <c r="M9" s="9"/>
      <c r="N9" s="79" t="str">
        <f>IF(M9="","",M9*152)</f>
        <v/>
      </c>
      <c r="O9" s="18" t="str">
        <f t="shared" si="2"/>
        <v/>
      </c>
      <c r="P9" s="2" t="s">
        <v>119</v>
      </c>
      <c r="Q9" s="2">
        <v>1900</v>
      </c>
      <c r="R9" s="2">
        <v>45</v>
      </c>
      <c r="S9" s="18">
        <v>60</v>
      </c>
    </row>
    <row r="10" spans="1:19" ht="60" customHeight="1">
      <c r="A10" s="242"/>
      <c r="B10" s="298"/>
      <c r="C10" s="23" t="s">
        <v>51</v>
      </c>
      <c r="D10" s="80" t="s">
        <v>52</v>
      </c>
      <c r="E10" s="89">
        <v>10</v>
      </c>
      <c r="F10" s="90" t="s">
        <v>17</v>
      </c>
      <c r="G10" s="78">
        <v>20</v>
      </c>
      <c r="H10" s="5" t="s">
        <v>28</v>
      </c>
      <c r="I10" s="6"/>
      <c r="J10" s="18" t="str">
        <f t="shared" si="0"/>
        <v/>
      </c>
      <c r="K10" s="2" t="str">
        <f>IF(I10="","",IF(I10&gt;R10,"","添加"))</f>
        <v/>
      </c>
      <c r="L10" s="144"/>
      <c r="M10" s="5" t="s">
        <v>28</v>
      </c>
      <c r="N10" s="7"/>
      <c r="O10" s="18" t="str">
        <f t="shared" si="2"/>
        <v/>
      </c>
      <c r="P10" s="2" t="s">
        <v>120</v>
      </c>
      <c r="Q10" s="2">
        <v>1900</v>
      </c>
      <c r="R10" s="2">
        <v>15</v>
      </c>
      <c r="S10" s="18">
        <v>20</v>
      </c>
    </row>
    <row r="11" spans="1:19" ht="60" customHeight="1">
      <c r="A11" s="242"/>
      <c r="B11" s="299"/>
      <c r="C11" s="85" t="s">
        <v>53</v>
      </c>
      <c r="D11" s="80" t="s">
        <v>54</v>
      </c>
      <c r="E11" s="89">
        <v>0.5</v>
      </c>
      <c r="F11" s="90" t="s">
        <v>17</v>
      </c>
      <c r="G11" s="78">
        <v>1.5</v>
      </c>
      <c r="H11" s="5" t="s">
        <v>28</v>
      </c>
      <c r="I11" s="6"/>
      <c r="J11" s="18" t="str">
        <f t="shared" si="0"/>
        <v/>
      </c>
      <c r="K11" s="2" t="str">
        <f>IF(I11="","",IF(I11&gt;R11,"","添加"))</f>
        <v/>
      </c>
      <c r="L11" s="144"/>
      <c r="M11" s="5" t="s">
        <v>28</v>
      </c>
      <c r="N11" s="7"/>
      <c r="O11" s="18" t="str">
        <f t="shared" si="2"/>
        <v/>
      </c>
      <c r="P11" s="2" t="s">
        <v>121</v>
      </c>
      <c r="Q11" s="2">
        <v>1900</v>
      </c>
      <c r="R11" s="2">
        <v>1</v>
      </c>
      <c r="S11" s="18">
        <v>1.5</v>
      </c>
    </row>
    <row r="12" spans="1:19" ht="60" customHeight="1">
      <c r="A12" s="242"/>
      <c r="B12" s="297" t="s">
        <v>193</v>
      </c>
      <c r="C12" s="166" t="s">
        <v>228</v>
      </c>
      <c r="D12" s="26" t="s">
        <v>55</v>
      </c>
      <c r="E12" s="30">
        <v>130</v>
      </c>
      <c r="F12" s="24" t="s">
        <v>17</v>
      </c>
      <c r="G12" s="31">
        <v>170</v>
      </c>
      <c r="H12" s="167"/>
      <c r="I12" s="3" t="str">
        <f>IF(H12="","",H12*24.5*F!$B$3)</f>
        <v/>
      </c>
      <c r="J12" s="18" t="str">
        <f t="shared" si="0"/>
        <v/>
      </c>
      <c r="K12" s="2" t="str">
        <f t="shared" ref="K12:K14" si="3">IF(I12="","",IF(I12&lt;R12,"添加",IF(I12&gt;S12,"稀釋","")))</f>
        <v/>
      </c>
      <c r="L12" s="144" t="str">
        <f>IFERROR(IF(I12&lt;R12,"硫酸(50%)："&amp;ROUND(((R12-I12)*Q12/0.714/1000),1)&amp;" L",IF(I12="","",IF(I12&gt;S12,"通知工程師",""))),"")</f>
        <v/>
      </c>
      <c r="M12" s="9"/>
      <c r="N12" s="79" t="str">
        <f>IF(M12="","",M12*24.5*F!$B$3)</f>
        <v/>
      </c>
      <c r="O12" s="18" t="str">
        <f t="shared" si="2"/>
        <v/>
      </c>
      <c r="P12" s="2" t="s">
        <v>136</v>
      </c>
      <c r="Q12" s="2">
        <v>3800</v>
      </c>
      <c r="R12" s="2">
        <v>150</v>
      </c>
      <c r="S12" s="18">
        <v>170</v>
      </c>
    </row>
    <row r="13" spans="1:19" ht="60" customHeight="1">
      <c r="A13" s="242"/>
      <c r="B13" s="298"/>
      <c r="C13" s="158" t="s">
        <v>229</v>
      </c>
      <c r="D13" s="20" t="s">
        <v>56</v>
      </c>
      <c r="E13" s="23">
        <v>110</v>
      </c>
      <c r="F13" s="24" t="s">
        <v>17</v>
      </c>
      <c r="G13" s="78">
        <v>130</v>
      </c>
      <c r="H13" s="167"/>
      <c r="I13" s="79" t="str">
        <f>IF(H13="","",H13*6.25*F!$B$6)</f>
        <v/>
      </c>
      <c r="J13" s="18" t="str">
        <f t="shared" si="0"/>
        <v/>
      </c>
      <c r="K13" s="2" t="str">
        <f t="shared" si="3"/>
        <v/>
      </c>
      <c r="L13" s="144" t="str">
        <f>IFERROR(IF(I13&lt;R13,"氧化銅粉："&amp;ROUND(((R13-I13)*Q13/1000),1)&amp;" Kg",IF(I13="","",IF(I13&gt;S13,"通知工程師",""))),"")</f>
        <v/>
      </c>
      <c r="M13" s="9"/>
      <c r="N13" s="79" t="str">
        <f>IF(M13="","",M13*6.24*F!$B$6)</f>
        <v/>
      </c>
      <c r="O13" s="18" t="str">
        <f t="shared" si="2"/>
        <v/>
      </c>
      <c r="P13" s="2" t="s">
        <v>118</v>
      </c>
      <c r="Q13" s="2">
        <v>3800</v>
      </c>
      <c r="R13" s="2">
        <v>120</v>
      </c>
      <c r="S13" s="18">
        <v>130</v>
      </c>
    </row>
    <row r="14" spans="1:19" ht="60" customHeight="1">
      <c r="A14" s="242"/>
      <c r="B14" s="298"/>
      <c r="C14" s="158" t="s">
        <v>230</v>
      </c>
      <c r="D14" s="80" t="s">
        <v>16</v>
      </c>
      <c r="E14" s="23">
        <v>30</v>
      </c>
      <c r="F14" s="24" t="s">
        <v>17</v>
      </c>
      <c r="G14" s="25">
        <v>60</v>
      </c>
      <c r="H14" s="167"/>
      <c r="I14" s="79" t="str">
        <f>IF(H14="","",H14*152)</f>
        <v/>
      </c>
      <c r="J14" s="18" t="str">
        <f t="shared" si="0"/>
        <v/>
      </c>
      <c r="K14" s="2" t="str">
        <f t="shared" si="3"/>
        <v/>
      </c>
      <c r="L14" s="144" t="str">
        <f>IFERROR(IF(I14&lt;R14,"鹽酸(38%)："&amp;ROUND((((R14-I14)/1000000)*Q14*0.36*1000),1)&amp;" ml",IF(I14="","",IF(I14&gt;S14,"通知工程師",""))),"")</f>
        <v/>
      </c>
      <c r="M14" s="9"/>
      <c r="N14" s="79" t="str">
        <f>IF(M14="","",M14*152)</f>
        <v/>
      </c>
      <c r="O14" s="18" t="str">
        <f t="shared" si="2"/>
        <v/>
      </c>
      <c r="P14" s="2" t="s">
        <v>137</v>
      </c>
      <c r="Q14" s="2">
        <v>3800</v>
      </c>
      <c r="R14" s="2">
        <v>45</v>
      </c>
      <c r="S14" s="18">
        <v>60</v>
      </c>
    </row>
    <row r="15" spans="1:19" ht="60" customHeight="1">
      <c r="A15" s="242"/>
      <c r="B15" s="298"/>
      <c r="C15" s="23" t="s">
        <v>51</v>
      </c>
      <c r="D15" s="80" t="s">
        <v>52</v>
      </c>
      <c r="E15" s="89">
        <v>10</v>
      </c>
      <c r="F15" s="90" t="s">
        <v>17</v>
      </c>
      <c r="G15" s="78">
        <v>20</v>
      </c>
      <c r="H15" s="5" t="s">
        <v>28</v>
      </c>
      <c r="I15" s="8"/>
      <c r="J15" s="18" t="str">
        <f t="shared" si="0"/>
        <v/>
      </c>
      <c r="K15" s="2" t="str">
        <f>IF(I15="","",IF(I15&gt;R15,"","添加"))</f>
        <v/>
      </c>
      <c r="L15" s="144"/>
      <c r="M15" s="5" t="s">
        <v>28</v>
      </c>
      <c r="N15" s="7"/>
      <c r="O15" s="18" t="str">
        <f t="shared" si="2"/>
        <v/>
      </c>
      <c r="P15" s="2" t="s">
        <v>120</v>
      </c>
      <c r="Q15" s="2">
        <v>3800</v>
      </c>
      <c r="R15" s="2">
        <v>15</v>
      </c>
      <c r="S15" s="18">
        <v>20</v>
      </c>
    </row>
    <row r="16" spans="1:19" ht="60" customHeight="1">
      <c r="A16" s="242"/>
      <c r="B16" s="299"/>
      <c r="C16" s="85" t="s">
        <v>53</v>
      </c>
      <c r="D16" s="80" t="s">
        <v>54</v>
      </c>
      <c r="E16" s="89">
        <v>0.5</v>
      </c>
      <c r="F16" s="90" t="s">
        <v>17</v>
      </c>
      <c r="G16" s="78">
        <v>1.5</v>
      </c>
      <c r="H16" s="5" t="s">
        <v>28</v>
      </c>
      <c r="I16" s="6"/>
      <c r="J16" s="18" t="str">
        <f t="shared" si="0"/>
        <v/>
      </c>
      <c r="K16" s="2" t="str">
        <f>IF(I16="","",IF(I16&gt;R16,"","添加"))</f>
        <v/>
      </c>
      <c r="L16" s="144"/>
      <c r="M16" s="5" t="s">
        <v>28</v>
      </c>
      <c r="N16" s="7"/>
      <c r="O16" s="18" t="str">
        <f t="shared" si="2"/>
        <v/>
      </c>
      <c r="P16" s="2" t="s">
        <v>121</v>
      </c>
      <c r="Q16" s="2">
        <v>3800</v>
      </c>
      <c r="R16" s="2">
        <v>1</v>
      </c>
      <c r="S16" s="18">
        <v>1.5</v>
      </c>
    </row>
    <row r="17" spans="1:17" ht="18" customHeight="1">
      <c r="A17" s="33" t="s">
        <v>19</v>
      </c>
      <c r="B17" s="34"/>
      <c r="C17" s="34"/>
      <c r="D17" s="34"/>
      <c r="E17" s="34"/>
      <c r="F17" s="34"/>
      <c r="G17" s="34"/>
      <c r="H17" s="34"/>
      <c r="I17" s="34"/>
      <c r="J17" s="35"/>
    </row>
    <row r="18" spans="1:17" ht="18" customHeight="1">
      <c r="A18" s="19"/>
      <c r="B18" s="15"/>
      <c r="D18" s="15"/>
      <c r="E18" s="15"/>
      <c r="F18" s="15"/>
      <c r="G18" s="15"/>
      <c r="H18" s="15"/>
      <c r="I18" s="15"/>
      <c r="J18" s="36"/>
    </row>
    <row r="19" spans="1:17" ht="18" customHeight="1">
      <c r="A19" s="272"/>
      <c r="B19" s="273"/>
      <c r="C19" s="273"/>
      <c r="D19" s="273"/>
      <c r="E19" s="273"/>
      <c r="F19" s="273"/>
      <c r="G19" s="273"/>
      <c r="H19" s="273"/>
      <c r="I19" s="273"/>
      <c r="J19" s="300"/>
    </row>
    <row r="20" spans="1:17" ht="18" customHeight="1">
      <c r="A20" s="301"/>
      <c r="B20" s="302"/>
      <c r="C20" s="302"/>
      <c r="D20" s="302"/>
      <c r="E20" s="302"/>
      <c r="F20" s="302"/>
      <c r="G20" s="302"/>
      <c r="H20" s="302"/>
      <c r="I20" s="302"/>
      <c r="J20" s="303"/>
    </row>
    <row r="21" spans="1:17" ht="18" customHeight="1">
      <c r="A21" s="37" t="s">
        <v>21</v>
      </c>
      <c r="C21" s="38" t="s">
        <v>22</v>
      </c>
      <c r="H21" s="38" t="s">
        <v>23</v>
      </c>
    </row>
    <row r="22" spans="1:17" s="14" customFormat="1" ht="18" customHeight="1">
      <c r="C22" s="15"/>
      <c r="J22" s="15"/>
      <c r="K22" s="16"/>
      <c r="P22" s="16"/>
      <c r="Q22" s="16"/>
    </row>
    <row r="23" spans="1:17" s="14" customFormat="1" ht="18" customHeight="1">
      <c r="C23" s="15"/>
      <c r="J23" s="15"/>
      <c r="K23" s="16"/>
      <c r="P23" s="16"/>
      <c r="Q23" s="16"/>
    </row>
  </sheetData>
  <sheetProtection algorithmName="SHA-512" hashValue="23UwXd+POXU0CmIemYl/YYmDEPx/YkahFattqTxvdemXCODAWnG6owENorMk45XPxDd/0gKrtjHYyJxoUH5YQA==" saltValue="/pTqTNCjRYb7+AwpfTnVOw==" spinCount="100000" sheet="1" objects="1" scenarios="1"/>
  <mergeCells count="10">
    <mergeCell ref="E6:G6"/>
    <mergeCell ref="A7:A16"/>
    <mergeCell ref="B7:B11"/>
    <mergeCell ref="B12:B16"/>
    <mergeCell ref="A19:J20"/>
    <mergeCell ref="A1:I1"/>
    <mergeCell ref="A2:J2"/>
    <mergeCell ref="B3:J3"/>
    <mergeCell ref="B4:J4"/>
    <mergeCell ref="B5:J5"/>
  </mergeCells>
  <phoneticPr fontId="17" type="noConversion"/>
  <conditionalFormatting sqref="J7:J16">
    <cfRule type="containsText" dxfId="11" priority="9" operator="containsText" text="NG">
      <formula>NOT(ISERROR(SEARCH("NG",J7)))</formula>
    </cfRule>
  </conditionalFormatting>
  <conditionalFormatting sqref="K7:K9">
    <cfRule type="containsText" dxfId="10" priority="3" operator="containsText" text="NG">
      <formula>NOT(ISERROR(SEARCH("NG",K7)))</formula>
    </cfRule>
  </conditionalFormatting>
  <conditionalFormatting sqref="K12:K14">
    <cfRule type="containsText" dxfId="9" priority="2" operator="containsText" text="NG">
      <formula>NOT(ISERROR(SEARCH("NG",K12)))</formula>
    </cfRule>
  </conditionalFormatting>
  <conditionalFormatting sqref="O7:O16">
    <cfRule type="containsText" dxfId="8" priority="1" operator="containsText" text="NG">
      <formula>NOT(ISERROR(SEARCH("NG",O7)))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T23"/>
  <sheetViews>
    <sheetView showGridLines="0" zoomScale="40" zoomScaleNormal="40" workbookViewId="0">
      <selection activeCell="J17" sqref="J17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6" customWidth="1"/>
    <col min="12" max="12" width="50.625" style="17" customWidth="1"/>
    <col min="13" max="15" width="21.625" style="17" customWidth="1"/>
    <col min="16" max="16" width="30.625" style="16" hidden="1" customWidth="1"/>
    <col min="17" max="17" width="21.625" style="16" hidden="1" customWidth="1"/>
    <col min="18" max="19" width="21.625" style="17" hidden="1" customWidth="1"/>
    <col min="20" max="22" width="30.625" style="17" customWidth="1"/>
    <col min="23" max="16384" width="9" style="17"/>
  </cols>
  <sheetData>
    <row r="1" spans="1:20" ht="27.75" customHeight="1">
      <c r="A1" s="233"/>
      <c r="B1" s="233"/>
      <c r="C1" s="233"/>
      <c r="D1" s="233"/>
      <c r="E1" s="233"/>
      <c r="F1" s="233"/>
      <c r="G1" s="233"/>
      <c r="H1" s="233"/>
      <c r="I1" s="233"/>
    </row>
    <row r="2" spans="1:20" ht="50.25">
      <c r="A2" s="234" t="s">
        <v>0</v>
      </c>
      <c r="B2" s="234"/>
      <c r="C2" s="234"/>
      <c r="D2" s="234"/>
      <c r="E2" s="234"/>
      <c r="F2" s="234"/>
      <c r="G2" s="234"/>
      <c r="H2" s="234"/>
      <c r="I2" s="234"/>
      <c r="J2" s="234"/>
    </row>
    <row r="3" spans="1:20" ht="35.1" customHeight="1">
      <c r="A3" s="18" t="s">
        <v>1</v>
      </c>
      <c r="B3" s="235" t="s">
        <v>150</v>
      </c>
      <c r="C3" s="236"/>
      <c r="D3" s="236"/>
      <c r="E3" s="236"/>
      <c r="F3" s="236"/>
      <c r="G3" s="236"/>
      <c r="H3" s="236"/>
      <c r="I3" s="236"/>
      <c r="J3" s="237"/>
    </row>
    <row r="4" spans="1:20" ht="35.1" customHeight="1">
      <c r="A4" s="18" t="s">
        <v>2</v>
      </c>
      <c r="B4" s="294"/>
      <c r="C4" s="295"/>
      <c r="D4" s="295"/>
      <c r="E4" s="295"/>
      <c r="F4" s="295"/>
      <c r="G4" s="295"/>
      <c r="H4" s="295"/>
      <c r="I4" s="295"/>
      <c r="J4" s="296"/>
    </row>
    <row r="5" spans="1:20" ht="35.1" customHeight="1">
      <c r="A5" s="18" t="s">
        <v>3</v>
      </c>
      <c r="B5" s="235"/>
      <c r="C5" s="236"/>
      <c r="D5" s="236"/>
      <c r="E5" s="236"/>
      <c r="F5" s="236"/>
      <c r="G5" s="236"/>
      <c r="H5" s="236"/>
      <c r="I5" s="236"/>
      <c r="J5" s="237"/>
      <c r="K5" s="19"/>
      <c r="M5" s="138" t="s">
        <v>140</v>
      </c>
      <c r="N5" s="138"/>
      <c r="O5" s="138"/>
      <c r="P5" s="15"/>
      <c r="Q5" s="15"/>
    </row>
    <row r="6" spans="1:20" ht="35.1" customHeight="1">
      <c r="A6" s="18" t="s">
        <v>1</v>
      </c>
      <c r="B6" s="18" t="s">
        <v>234</v>
      </c>
      <c r="C6" s="20" t="s">
        <v>5</v>
      </c>
      <c r="D6" s="20" t="s">
        <v>6</v>
      </c>
      <c r="E6" s="304" t="s">
        <v>7</v>
      </c>
      <c r="F6" s="282"/>
      <c r="G6" s="283"/>
      <c r="H6" s="20" t="s">
        <v>8</v>
      </c>
      <c r="I6" s="21" t="s">
        <v>9</v>
      </c>
      <c r="J6" s="20" t="s">
        <v>10</v>
      </c>
      <c r="K6" s="22" t="s">
        <v>11</v>
      </c>
      <c r="L6" s="22" t="s">
        <v>13</v>
      </c>
      <c r="M6" s="20" t="s">
        <v>8</v>
      </c>
      <c r="N6" s="20" t="s">
        <v>9</v>
      </c>
      <c r="O6" s="47" t="s">
        <v>10</v>
      </c>
      <c r="P6" s="22" t="s">
        <v>12</v>
      </c>
      <c r="Q6" s="22" t="s">
        <v>57</v>
      </c>
      <c r="R6" s="22" t="s">
        <v>15</v>
      </c>
      <c r="S6" s="22" t="s">
        <v>58</v>
      </c>
    </row>
    <row r="7" spans="1:20" ht="60" customHeight="1">
      <c r="A7" s="241" t="s">
        <v>174</v>
      </c>
      <c r="B7" s="20" t="s">
        <v>194</v>
      </c>
      <c r="C7" s="166" t="s">
        <v>231</v>
      </c>
      <c r="D7" s="18" t="s">
        <v>59</v>
      </c>
      <c r="E7" s="23">
        <v>15</v>
      </c>
      <c r="F7" s="24" t="s">
        <v>17</v>
      </c>
      <c r="G7" s="25">
        <v>25</v>
      </c>
      <c r="H7" s="167"/>
      <c r="I7" s="3" t="str">
        <f>IF(H7="","",H7*6.2*F!$B$3)</f>
        <v/>
      </c>
      <c r="J7" s="18" t="str">
        <f>IF(I7="","",IF(OR(I7&lt;E7,I7&gt;G7),"NG","OK"))</f>
        <v/>
      </c>
      <c r="K7" s="22" t="str">
        <f t="shared" ref="K7:K16" si="0">IF(I7="","",IF(I7&lt;R7,"添加",IF(I7&gt;S7,"稀釋","")))</f>
        <v/>
      </c>
      <c r="L7" s="81" t="str">
        <f>IFERROR(IF(I7&gt;S7,"排液："&amp;ROUND(664*(1-20/I7),0)&amp;" L"&amp;"
補水："&amp;ROUND(664*(1-20/I7),0)&amp;" L",IF(I7&lt;R7,"硫酸："&amp;ROUND((20-I7)*664/1000/0.5,1)&amp;" L","")),"")</f>
        <v/>
      </c>
      <c r="M7" s="9"/>
      <c r="N7" s="79" t="str">
        <f>IF(M7="","",M7*6.2*F!$B$3)</f>
        <v/>
      </c>
      <c r="O7" s="18" t="str">
        <f>IF(N7="","",IF(OR(N7&lt;E7,N7&gt;G7),"NG","OK"))</f>
        <v/>
      </c>
      <c r="P7" s="22" t="s">
        <v>60</v>
      </c>
      <c r="Q7" s="22">
        <v>664</v>
      </c>
      <c r="R7" s="22">
        <v>18</v>
      </c>
      <c r="S7" s="18">
        <v>23</v>
      </c>
    </row>
    <row r="8" spans="1:20" ht="60" customHeight="1">
      <c r="A8" s="242"/>
      <c r="B8" s="194" t="s">
        <v>195</v>
      </c>
      <c r="C8" s="166" t="s">
        <v>224</v>
      </c>
      <c r="D8" s="18" t="s">
        <v>184</v>
      </c>
      <c r="E8" s="23">
        <v>4</v>
      </c>
      <c r="F8" s="24" t="s">
        <v>17</v>
      </c>
      <c r="G8" s="25">
        <v>6</v>
      </c>
      <c r="H8" s="167"/>
      <c r="I8" s="3" t="str">
        <f>IF(H8="","",H8*0.04904*F!$B$3*100)</f>
        <v/>
      </c>
      <c r="J8" s="18" t="str">
        <f t="shared" ref="J8:J16" si="1">IF(I8="","",IF(OR(I8&lt;E8,I8&gt;G8),"NG","OK"))</f>
        <v/>
      </c>
      <c r="K8" s="22" t="str">
        <f t="shared" si="0"/>
        <v/>
      </c>
      <c r="L8" s="158" t="str">
        <f>IFERROR(IF(I8&gt;S8,"排液："&amp;ROUND(664*(1-5/I8),0)&amp;" L"&amp;"
補水："&amp;ROUND(664*(1-5/I8),0)&amp;" L",IF(I8&lt;R8,"硫酸："&amp;ROUND((5-I8)*664/100/0.5/1.4,1)&amp;" L","")),"")</f>
        <v/>
      </c>
      <c r="M8" s="9"/>
      <c r="N8" s="79" t="str">
        <f>IF(M8="","",M8*0.04904*F!$B$3*100)</f>
        <v/>
      </c>
      <c r="O8" s="18" t="str">
        <f t="shared" ref="O8:O16" si="2">IF(N8="","",IF(OR(N8&lt;E8,N8&gt;G8),"NG","OK"))</f>
        <v/>
      </c>
      <c r="P8" s="22" t="s">
        <v>60</v>
      </c>
      <c r="Q8" s="22">
        <v>664</v>
      </c>
      <c r="R8" s="22">
        <v>4</v>
      </c>
      <c r="S8" s="18">
        <v>6</v>
      </c>
    </row>
    <row r="9" spans="1:20" ht="60" customHeight="1">
      <c r="A9" s="242"/>
      <c r="B9" s="297" t="s">
        <v>196</v>
      </c>
      <c r="C9" s="166" t="s">
        <v>228</v>
      </c>
      <c r="D9" s="26" t="s">
        <v>61</v>
      </c>
      <c r="E9" s="30">
        <v>160</v>
      </c>
      <c r="F9" s="24" t="s">
        <v>17</v>
      </c>
      <c r="G9" s="31">
        <v>200</v>
      </c>
      <c r="H9" s="167"/>
      <c r="I9" s="3" t="str">
        <f>IF(H9="","",H9*24.5*F!$B$3)</f>
        <v/>
      </c>
      <c r="J9" s="18" t="str">
        <f t="shared" si="1"/>
        <v/>
      </c>
      <c r="K9" s="22" t="str">
        <f t="shared" si="0"/>
        <v/>
      </c>
      <c r="L9" s="81" t="str">
        <f>IF(I9="","",IF(I9&gt;S9,"通知工程師",IF(I9&lt;R9,"硫酸：" &amp; ROUND((180-I9)*7000/1400/0.5,1) &amp; " L","")))</f>
        <v/>
      </c>
      <c r="M9" s="9"/>
      <c r="N9" s="79" t="str">
        <f>IF(M9="","",M9*24.5*F!$B$3)</f>
        <v/>
      </c>
      <c r="O9" s="18" t="str">
        <f t="shared" si="2"/>
        <v/>
      </c>
      <c r="P9" s="22" t="s">
        <v>60</v>
      </c>
      <c r="Q9" s="22">
        <v>7000</v>
      </c>
      <c r="R9" s="22">
        <v>170</v>
      </c>
      <c r="S9" s="18">
        <v>190</v>
      </c>
    </row>
    <row r="10" spans="1:20" ht="60" customHeight="1">
      <c r="A10" s="242"/>
      <c r="B10" s="298"/>
      <c r="C10" s="158" t="s">
        <v>229</v>
      </c>
      <c r="D10" s="20" t="s">
        <v>62</v>
      </c>
      <c r="E10" s="23">
        <v>85</v>
      </c>
      <c r="F10" s="24" t="s">
        <v>17</v>
      </c>
      <c r="G10" s="78">
        <v>115</v>
      </c>
      <c r="H10" s="167"/>
      <c r="I10" s="79" t="str">
        <f>IF(H10="","",H10*6.25*F!$B$6)</f>
        <v/>
      </c>
      <c r="J10" s="18" t="str">
        <f t="shared" si="1"/>
        <v/>
      </c>
      <c r="K10" s="22" t="str">
        <f t="shared" si="0"/>
        <v/>
      </c>
      <c r="L10" s="81" t="str">
        <f>IF(I10="","",IF(I10&gt;S10,"通知工程師",IF(I10&lt;R10,"氧化銅："&amp;ROUND((100-I10)*7000/1000/0.799*0.9,1)&amp;" Kg","")))</f>
        <v/>
      </c>
      <c r="M10" s="9"/>
      <c r="N10" s="79" t="str">
        <f>IF(M10="","",M10*6.25*F!$B$6)</f>
        <v/>
      </c>
      <c r="O10" s="18" t="str">
        <f t="shared" si="2"/>
        <v/>
      </c>
      <c r="P10" s="22" t="s">
        <v>63</v>
      </c>
      <c r="Q10" s="22">
        <v>7000</v>
      </c>
      <c r="R10" s="22">
        <v>90</v>
      </c>
      <c r="S10" s="18">
        <v>110</v>
      </c>
    </row>
    <row r="11" spans="1:20" ht="60" customHeight="1">
      <c r="A11" s="242"/>
      <c r="B11" s="298"/>
      <c r="C11" s="158" t="s">
        <v>230</v>
      </c>
      <c r="D11" s="80" t="s">
        <v>64</v>
      </c>
      <c r="E11" s="23">
        <v>40</v>
      </c>
      <c r="F11" s="24" t="s">
        <v>17</v>
      </c>
      <c r="G11" s="25">
        <v>60</v>
      </c>
      <c r="H11" s="167"/>
      <c r="I11" s="79" t="str">
        <f>IF(H11="","",H11*152)</f>
        <v/>
      </c>
      <c r="J11" s="18" t="str">
        <f t="shared" si="1"/>
        <v/>
      </c>
      <c r="K11" s="22" t="str">
        <f t="shared" si="0"/>
        <v/>
      </c>
      <c r="L11" s="81" t="str">
        <f>IF(I11="","",IF(I11&gt;S11,"通知工程師",IF(I11&lt;R11,"鹽酸："&amp;ROUND((50-I11)/0.0573,0)&amp;" mL","")))</f>
        <v/>
      </c>
      <c r="M11" s="9"/>
      <c r="N11" s="79" t="str">
        <f>IF(M11="","",M11*152)</f>
        <v/>
      </c>
      <c r="O11" s="18" t="str">
        <f t="shared" si="2"/>
        <v/>
      </c>
      <c r="P11" s="22" t="s">
        <v>65</v>
      </c>
      <c r="Q11" s="22">
        <v>7000</v>
      </c>
      <c r="R11" s="22">
        <v>40</v>
      </c>
      <c r="S11" s="18">
        <v>60</v>
      </c>
    </row>
    <row r="12" spans="1:20" ht="60" customHeight="1">
      <c r="A12" s="242"/>
      <c r="B12" s="298"/>
      <c r="C12" s="155" t="s">
        <v>181</v>
      </c>
      <c r="D12" s="20" t="s">
        <v>66</v>
      </c>
      <c r="E12" s="82">
        <v>8</v>
      </c>
      <c r="F12" s="24" t="s">
        <v>17</v>
      </c>
      <c r="G12" s="83">
        <v>12</v>
      </c>
      <c r="H12" s="5" t="s">
        <v>28</v>
      </c>
      <c r="I12" s="8"/>
      <c r="J12" s="18" t="str">
        <f t="shared" si="1"/>
        <v/>
      </c>
      <c r="K12" s="22" t="str">
        <f t="shared" si="0"/>
        <v/>
      </c>
      <c r="L12" s="81" t="str">
        <f>IF(I12="","",IF(I12&gt;S12,"排液："&amp;ROUND(7000*(1-10/I12),0)&amp;" L"&amp;"
補水："&amp;ROUND(7000*(1-10/I12),0)&amp;" L",IF(I12&lt;R12,"51SF："&amp;ROUND((10-I12)*7000/1000,1)&amp;" L","")))</f>
        <v/>
      </c>
      <c r="M12" s="143" t="s">
        <v>28</v>
      </c>
      <c r="N12" s="7"/>
      <c r="O12" s="18" t="str">
        <f t="shared" si="2"/>
        <v/>
      </c>
      <c r="P12" s="22" t="s">
        <v>67</v>
      </c>
      <c r="Q12" s="22">
        <v>7000</v>
      </c>
      <c r="R12" s="22">
        <v>8</v>
      </c>
      <c r="S12" s="18">
        <v>12</v>
      </c>
      <c r="T12" s="14"/>
    </row>
    <row r="13" spans="1:20" ht="60" customHeight="1">
      <c r="A13" s="242"/>
      <c r="B13" s="299"/>
      <c r="C13" s="155" t="s">
        <v>182</v>
      </c>
      <c r="D13" s="26" t="s">
        <v>69</v>
      </c>
      <c r="E13" s="30">
        <v>0.7</v>
      </c>
      <c r="F13" s="24" t="s">
        <v>17</v>
      </c>
      <c r="G13" s="31">
        <v>1.3</v>
      </c>
      <c r="H13" s="5" t="s">
        <v>28</v>
      </c>
      <c r="I13" s="84"/>
      <c r="J13" s="18" t="str">
        <f t="shared" si="1"/>
        <v/>
      </c>
      <c r="K13" s="22" t="str">
        <f t="shared" si="0"/>
        <v/>
      </c>
      <c r="L13" s="81" t="str">
        <f>IF(I13="","",IF(I13&gt;S13,"排液："&amp;ROUND(7000*(1-1/I13),0)&amp;" L"&amp;"
補水："&amp;ROUND(7000*(1-1/I13),0)&amp;" L",IF(I13&lt;R13,"STB："&amp;ROUND((1-I13)*7000,1)&amp;" mL","")))</f>
        <v/>
      </c>
      <c r="M13" s="143" t="s">
        <v>28</v>
      </c>
      <c r="N13" s="7"/>
      <c r="O13" s="18" t="str">
        <f t="shared" si="2"/>
        <v/>
      </c>
      <c r="P13" s="22" t="s">
        <v>68</v>
      </c>
      <c r="Q13" s="22">
        <v>7000</v>
      </c>
      <c r="R13" s="22">
        <v>0.7</v>
      </c>
      <c r="S13" s="18">
        <v>1.3</v>
      </c>
      <c r="T13" s="14"/>
    </row>
    <row r="14" spans="1:20" ht="60" customHeight="1">
      <c r="A14" s="242"/>
      <c r="B14" s="247" t="s">
        <v>197</v>
      </c>
      <c r="C14" s="166" t="s">
        <v>228</v>
      </c>
      <c r="D14" s="20" t="s">
        <v>70</v>
      </c>
      <c r="E14" s="23">
        <v>100</v>
      </c>
      <c r="F14" s="24" t="s">
        <v>17</v>
      </c>
      <c r="G14" s="78">
        <v>200</v>
      </c>
      <c r="H14" s="167"/>
      <c r="I14" s="79" t="str">
        <f>IF(H14="","",H14*24.5*F!$B$3)</f>
        <v/>
      </c>
      <c r="J14" s="18" t="str">
        <f t="shared" si="1"/>
        <v/>
      </c>
      <c r="K14" s="22" t="str">
        <f t="shared" si="0"/>
        <v/>
      </c>
      <c r="L14" s="158" t="str">
        <f>IFERROR(IF(I14&gt;S14,"排液："&amp;ROUND(813*(1-150/I14),0)&amp;" L"&amp;"
補水："&amp;ROUND(813*(1-150/I14),0)&amp;" L",IF(I14&lt;R14,"硫酸："&amp;ROUND((150-I14)*813/1400/0.5/1.4,1)&amp;" L","")),"")</f>
        <v/>
      </c>
      <c r="M14" s="9"/>
      <c r="N14" s="79" t="str">
        <f>IF(M14="","",M14*24.5*F!$B$3)</f>
        <v/>
      </c>
      <c r="O14" s="18" t="str">
        <f t="shared" si="2"/>
        <v/>
      </c>
      <c r="P14" s="22" t="s">
        <v>60</v>
      </c>
      <c r="Q14" s="22">
        <v>813</v>
      </c>
      <c r="R14" s="22">
        <v>100</v>
      </c>
      <c r="S14" s="18">
        <v>200</v>
      </c>
    </row>
    <row r="15" spans="1:20" ht="60" customHeight="1">
      <c r="A15" s="242"/>
      <c r="B15" s="245"/>
      <c r="C15" s="158" t="s">
        <v>232</v>
      </c>
      <c r="D15" s="80" t="s">
        <v>37</v>
      </c>
      <c r="E15" s="87">
        <v>0</v>
      </c>
      <c r="F15" s="24" t="s">
        <v>17</v>
      </c>
      <c r="G15" s="86">
        <v>100</v>
      </c>
      <c r="H15" s="167"/>
      <c r="I15" s="3" t="str">
        <f>IF(H15="","",H15*63.54*F!$B$6*0.05)</f>
        <v/>
      </c>
      <c r="J15" s="18" t="str">
        <f t="shared" ref="J15" si="3">IF(I15="","",IF(OR(I15&lt;E15,I15&gt;G15),"NG","OK"))</f>
        <v/>
      </c>
      <c r="K15" s="22" t="str">
        <f>IF(I15="","",IF(I15&gt;S15,"更槽",""))</f>
        <v/>
      </c>
      <c r="L15" s="81"/>
      <c r="M15" s="9"/>
      <c r="N15" s="79" t="str">
        <f>IF(M15="","",M15*6.354*F!$B$6)</f>
        <v/>
      </c>
      <c r="O15" s="18" t="str">
        <f t="shared" ref="O15" si="4">IF(N15="","",IF(OR(N15&lt;E15,N15&gt;G15),"NG","OK"))</f>
        <v/>
      </c>
      <c r="P15" s="104" t="s">
        <v>104</v>
      </c>
      <c r="Q15" s="22">
        <v>813</v>
      </c>
      <c r="R15" s="22" t="s">
        <v>73</v>
      </c>
      <c r="S15" s="18">
        <v>100</v>
      </c>
    </row>
    <row r="16" spans="1:20" ht="60" customHeight="1">
      <c r="A16" s="242"/>
      <c r="B16" s="245"/>
      <c r="C16" s="217" t="s">
        <v>233</v>
      </c>
      <c r="D16" s="80" t="s">
        <v>72</v>
      </c>
      <c r="E16" s="85">
        <v>120</v>
      </c>
      <c r="F16" s="24" t="s">
        <v>17</v>
      </c>
      <c r="G16" s="86">
        <v>160</v>
      </c>
      <c r="H16" s="168"/>
      <c r="I16" s="3" t="str">
        <f>IF(H16="","",H16*4.857/0.5*F!$B$7)</f>
        <v/>
      </c>
      <c r="J16" s="18" t="str">
        <f t="shared" si="1"/>
        <v/>
      </c>
      <c r="K16" s="22" t="str">
        <f t="shared" si="0"/>
        <v/>
      </c>
      <c r="L16" s="81" t="str">
        <f>IFERROR(IF(I16&gt;S16,"排液："&amp;ROUND(813*(1-140/I16),0)&amp;" L"&amp;"
補水："&amp;ROUND(813*(1-140/I16),0)&amp;" L",IF(I16&lt;R16,"雙氧水："&amp;ROUND((140-I16)*813/1140,1)&amp;" L","")),"")</f>
        <v/>
      </c>
      <c r="M16" s="12"/>
      <c r="N16" s="79" t="str">
        <f>IF(M16="","",M16*9.714*F!$B$7)</f>
        <v/>
      </c>
      <c r="O16" s="18" t="str">
        <f t="shared" si="2"/>
        <v/>
      </c>
      <c r="P16" s="22" t="s">
        <v>71</v>
      </c>
      <c r="Q16" s="22">
        <v>813</v>
      </c>
      <c r="R16" s="22">
        <v>120</v>
      </c>
      <c r="S16" s="18">
        <v>160</v>
      </c>
    </row>
    <row r="17" spans="1:17" ht="18" customHeight="1">
      <c r="A17" s="33" t="s">
        <v>19</v>
      </c>
      <c r="B17" s="34"/>
      <c r="C17" s="34"/>
      <c r="D17" s="34"/>
      <c r="E17" s="34"/>
      <c r="F17" s="34"/>
      <c r="G17" s="34"/>
      <c r="H17" s="34"/>
      <c r="I17" s="34"/>
      <c r="J17" s="35"/>
    </row>
    <row r="18" spans="1:17" ht="18" customHeight="1">
      <c r="A18" s="19"/>
      <c r="B18" s="15"/>
      <c r="D18" s="15"/>
      <c r="E18" s="15"/>
      <c r="F18" s="15"/>
      <c r="G18" s="15"/>
      <c r="H18" s="15"/>
      <c r="I18" s="15"/>
      <c r="J18" s="36"/>
    </row>
    <row r="19" spans="1:17" ht="18" customHeight="1">
      <c r="A19" s="272"/>
      <c r="B19" s="273"/>
      <c r="C19" s="273"/>
      <c r="D19" s="273"/>
      <c r="E19" s="273"/>
      <c r="F19" s="273"/>
      <c r="G19" s="273"/>
      <c r="H19" s="273"/>
      <c r="I19" s="273"/>
      <c r="J19" s="300"/>
    </row>
    <row r="20" spans="1:17" ht="18" customHeight="1">
      <c r="A20" s="301"/>
      <c r="B20" s="302"/>
      <c r="C20" s="302"/>
      <c r="D20" s="302"/>
      <c r="E20" s="302"/>
      <c r="F20" s="302"/>
      <c r="G20" s="302"/>
      <c r="H20" s="302"/>
      <c r="I20" s="302"/>
      <c r="J20" s="303"/>
    </row>
    <row r="21" spans="1:17" ht="18" customHeight="1">
      <c r="A21" s="37" t="s">
        <v>21</v>
      </c>
      <c r="C21" s="38" t="s">
        <v>22</v>
      </c>
      <c r="H21" s="38" t="s">
        <v>23</v>
      </c>
    </row>
    <row r="22" spans="1:17" s="14" customFormat="1" ht="18" customHeight="1">
      <c r="C22" s="15"/>
      <c r="J22" s="15"/>
      <c r="K22" s="16"/>
      <c r="P22" s="16"/>
      <c r="Q22" s="16"/>
    </row>
    <row r="23" spans="1:17" s="14" customFormat="1" ht="18" customHeight="1">
      <c r="C23" s="15"/>
      <c r="J23" s="15"/>
      <c r="K23" s="16"/>
      <c r="P23" s="16"/>
      <c r="Q23" s="16"/>
    </row>
  </sheetData>
  <sheetProtection algorithmName="SHA-512" hashValue="kZSJHHgL2aRkrR5WEaA9gR9rAUAgpIKmF82vSM5Hhy8biEXfeNYmvM+kTypAbUu8ZjBGfHTKnwogSUlnDax//A==" saltValue="kyaTDK1k1Z89aAk8qnc66g==" spinCount="100000" sheet="1" objects="1" scenarios="1"/>
  <mergeCells count="10">
    <mergeCell ref="E6:G6"/>
    <mergeCell ref="A7:A16"/>
    <mergeCell ref="B9:B13"/>
    <mergeCell ref="B14:B16"/>
    <mergeCell ref="A19:J20"/>
    <mergeCell ref="A1:I1"/>
    <mergeCell ref="A2:J2"/>
    <mergeCell ref="B3:J3"/>
    <mergeCell ref="B4:J4"/>
    <mergeCell ref="B5:J5"/>
  </mergeCells>
  <phoneticPr fontId="17" type="noConversion"/>
  <conditionalFormatting sqref="J7:J16">
    <cfRule type="containsText" dxfId="7" priority="3" operator="containsText" text="NG">
      <formula>NOT(ISERROR(SEARCH("NG",J7)))</formula>
    </cfRule>
  </conditionalFormatting>
  <conditionalFormatting sqref="O7:O16">
    <cfRule type="containsText" dxfId="6" priority="1" operator="containsText" text="NG">
      <formula>NOT(ISERROR(SEARCH("NG",O7)))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V24"/>
  <sheetViews>
    <sheetView showGridLines="0" zoomScale="40" zoomScaleNormal="40" workbookViewId="0">
      <selection activeCell="H31" sqref="H31"/>
    </sheetView>
  </sheetViews>
  <sheetFormatPr defaultColWidth="9" defaultRowHeight="30"/>
  <cols>
    <col min="1" max="1" width="14.25" style="39" customWidth="1"/>
    <col min="2" max="2" width="27.875" style="39" customWidth="1"/>
    <col min="3" max="3" width="28.875" style="40" customWidth="1"/>
    <col min="4" max="4" width="21.625" style="39" customWidth="1"/>
    <col min="5" max="5" width="10.625" style="39" customWidth="1"/>
    <col min="6" max="6" width="7.625" style="39" customWidth="1"/>
    <col min="7" max="7" width="10.625" style="39" customWidth="1"/>
    <col min="8" max="9" width="21.625" style="39" customWidth="1"/>
    <col min="10" max="10" width="21.625" style="40" customWidth="1"/>
    <col min="11" max="11" width="21.625" style="41" customWidth="1"/>
    <col min="12" max="12" width="50.625" style="42" customWidth="1"/>
    <col min="13" max="15" width="21.625" style="42" customWidth="1"/>
    <col min="16" max="16" width="30.625" style="41" hidden="1" customWidth="1"/>
    <col min="17" max="17" width="21.625" style="41" hidden="1" customWidth="1"/>
    <col min="18" max="18" width="21.625" style="42" hidden="1" customWidth="1"/>
    <col min="19" max="19" width="21.625" style="43" hidden="1" customWidth="1"/>
    <col min="20" max="22" width="30.625" style="43" customWidth="1"/>
    <col min="23" max="16384" width="9" style="43"/>
  </cols>
  <sheetData>
    <row r="1" spans="1:22" ht="27.95" customHeight="1">
      <c r="A1" s="305"/>
      <c r="B1" s="305"/>
      <c r="C1" s="305"/>
      <c r="D1" s="305"/>
      <c r="E1" s="305"/>
      <c r="F1" s="305"/>
      <c r="G1" s="305"/>
      <c r="H1" s="305"/>
      <c r="I1" s="305"/>
    </row>
    <row r="2" spans="1:22" ht="50.25">
      <c r="A2" s="306" t="s">
        <v>0</v>
      </c>
      <c r="B2" s="306"/>
      <c r="C2" s="306"/>
      <c r="D2" s="306"/>
      <c r="E2" s="306"/>
      <c r="F2" s="306"/>
      <c r="G2" s="306"/>
      <c r="H2" s="306"/>
      <c r="I2" s="306"/>
      <c r="J2" s="306"/>
      <c r="K2" s="44"/>
      <c r="L2" s="45"/>
      <c r="M2" s="45"/>
      <c r="N2" s="45"/>
      <c r="O2" s="45"/>
      <c r="P2" s="44"/>
      <c r="Q2" s="44"/>
      <c r="R2" s="45"/>
    </row>
    <row r="3" spans="1:22" ht="35.1" customHeight="1">
      <c r="A3" s="46" t="s">
        <v>1</v>
      </c>
      <c r="B3" s="307" t="s">
        <v>151</v>
      </c>
      <c r="C3" s="308"/>
      <c r="D3" s="308"/>
      <c r="E3" s="308"/>
      <c r="F3" s="308"/>
      <c r="G3" s="308"/>
      <c r="H3" s="308"/>
      <c r="I3" s="308"/>
      <c r="J3" s="309"/>
      <c r="K3" s="44"/>
      <c r="L3" s="45"/>
      <c r="M3" s="45"/>
      <c r="N3" s="45"/>
      <c r="O3" s="45"/>
      <c r="P3" s="44"/>
      <c r="Q3" s="44"/>
      <c r="R3" s="45"/>
    </row>
    <row r="4" spans="1:22" ht="35.1" customHeight="1">
      <c r="A4" s="46" t="s">
        <v>2</v>
      </c>
      <c r="B4" s="310"/>
      <c r="C4" s="311"/>
      <c r="D4" s="311"/>
      <c r="E4" s="311"/>
      <c r="F4" s="311"/>
      <c r="G4" s="311"/>
      <c r="H4" s="311"/>
      <c r="I4" s="311"/>
      <c r="J4" s="312"/>
      <c r="K4" s="44"/>
      <c r="L4" s="45"/>
      <c r="M4" s="45"/>
      <c r="N4" s="45"/>
      <c r="O4" s="45"/>
      <c r="P4" s="44"/>
      <c r="Q4" s="44"/>
      <c r="R4" s="45"/>
    </row>
    <row r="5" spans="1:22" ht="35.1" customHeight="1">
      <c r="A5" s="46" t="s">
        <v>3</v>
      </c>
      <c r="B5" s="307"/>
      <c r="C5" s="308"/>
      <c r="D5" s="308"/>
      <c r="E5" s="308"/>
      <c r="F5" s="308"/>
      <c r="G5" s="308"/>
      <c r="H5" s="308"/>
      <c r="I5" s="308"/>
      <c r="J5" s="309"/>
      <c r="K5" s="42"/>
      <c r="M5" s="138" t="s">
        <v>140</v>
      </c>
      <c r="N5" s="138"/>
      <c r="O5" s="138"/>
      <c r="P5" s="42"/>
      <c r="Q5" s="42"/>
      <c r="T5" s="261" t="s">
        <v>158</v>
      </c>
      <c r="U5" s="261"/>
      <c r="V5" s="261"/>
    </row>
    <row r="6" spans="1:22" ht="35.1" customHeight="1">
      <c r="A6" s="46" t="s">
        <v>1</v>
      </c>
      <c r="B6" s="46" t="s">
        <v>4</v>
      </c>
      <c r="C6" s="47" t="s">
        <v>5</v>
      </c>
      <c r="D6" s="47" t="s">
        <v>6</v>
      </c>
      <c r="E6" s="238" t="s">
        <v>7</v>
      </c>
      <c r="F6" s="239"/>
      <c r="G6" s="240"/>
      <c r="H6" s="47" t="s">
        <v>8</v>
      </c>
      <c r="I6" s="48" t="s">
        <v>9</v>
      </c>
      <c r="J6" s="47" t="s">
        <v>10</v>
      </c>
      <c r="K6" s="22" t="s">
        <v>11</v>
      </c>
      <c r="L6" s="22" t="s">
        <v>13</v>
      </c>
      <c r="M6" s="47" t="s">
        <v>8</v>
      </c>
      <c r="N6" s="47" t="s">
        <v>9</v>
      </c>
      <c r="O6" s="47" t="s">
        <v>10</v>
      </c>
      <c r="P6" s="22" t="s">
        <v>12</v>
      </c>
      <c r="Q6" s="22" t="s">
        <v>57</v>
      </c>
      <c r="R6" s="22" t="s">
        <v>15</v>
      </c>
      <c r="S6" s="22" t="s">
        <v>58</v>
      </c>
      <c r="T6" s="161" t="s">
        <v>159</v>
      </c>
      <c r="U6" s="161" t="s">
        <v>160</v>
      </c>
      <c r="V6" s="161" t="s">
        <v>161</v>
      </c>
    </row>
    <row r="7" spans="1:22" ht="60" customHeight="1">
      <c r="A7" s="313" t="s">
        <v>175</v>
      </c>
      <c r="B7" s="47" t="s">
        <v>194</v>
      </c>
      <c r="C7" s="166" t="s">
        <v>231</v>
      </c>
      <c r="D7" s="46" t="s">
        <v>74</v>
      </c>
      <c r="E7" s="49">
        <v>80</v>
      </c>
      <c r="F7" s="50" t="s">
        <v>17</v>
      </c>
      <c r="G7" s="51">
        <v>120</v>
      </c>
      <c r="H7" s="52"/>
      <c r="I7" s="53" t="str">
        <f>IF(H7="","",H7*8.48*F!$B$3)</f>
        <v/>
      </c>
      <c r="J7" s="46" t="str">
        <f>IF(I7="","",IF(OR(I7&lt;E7,I7&gt;G7),"NG","OK"))</f>
        <v/>
      </c>
      <c r="K7" s="2" t="str">
        <f>IF(I7="","",IF(I7&lt;R7,"添加",IF(I7&gt;S7,"稀釋","")))</f>
        <v/>
      </c>
      <c r="L7" s="136" t="str">
        <f>IFERROR(IF(I7&gt;S7,"排液："&amp;ROUND(1100*(1-100/I7),0)&amp;" L"&amp;"
補水："&amp;ROUND(1100*(1-100/I7),0)&amp;" L",IF(I7&lt;R7,"DP333："&amp;ROUND((100-I7)*1100/1000,1)&amp;" L","")),"")</f>
        <v/>
      </c>
      <c r="M7" s="52"/>
      <c r="N7" s="59" t="str">
        <f>IF(M7="","",M7*8.48*F!$B$3)</f>
        <v/>
      </c>
      <c r="O7" s="18" t="str">
        <f>IF(N7="","",IF(OR(N7&lt;E7,N7&gt;G7),"NG","OK"))</f>
        <v/>
      </c>
      <c r="P7" s="54" t="s">
        <v>75</v>
      </c>
      <c r="Q7" s="55">
        <v>1100</v>
      </c>
      <c r="R7" s="2">
        <v>90</v>
      </c>
      <c r="S7" s="46">
        <v>110</v>
      </c>
    </row>
    <row r="8" spans="1:22" ht="60" customHeight="1">
      <c r="A8" s="314"/>
      <c r="B8" s="195" t="s">
        <v>195</v>
      </c>
      <c r="C8" s="166" t="s">
        <v>224</v>
      </c>
      <c r="D8" s="18" t="s">
        <v>184</v>
      </c>
      <c r="E8" s="23">
        <v>4</v>
      </c>
      <c r="F8" s="24" t="s">
        <v>17</v>
      </c>
      <c r="G8" s="25">
        <v>6</v>
      </c>
      <c r="H8" s="52"/>
      <c r="I8" s="53" t="str">
        <f>IF(H8="","",H8*0.04904*F!$B$3*100)</f>
        <v/>
      </c>
      <c r="J8" s="46" t="str">
        <f t="shared" ref="J8:J17" si="0">IF(I8="","",IF(OR(I8&lt;E8,I8&gt;G8),"NG","OK"))</f>
        <v/>
      </c>
      <c r="K8" s="2" t="str">
        <f t="shared" ref="K8:K17" si="1">IF(I8="","",IF(I8&lt;R8,"添加",IF(I8&gt;S8,"稀釋","")))</f>
        <v/>
      </c>
      <c r="L8" s="136" t="str">
        <f>IFERROR(IF(I8&gt;S8,"排液："&amp;ROUND(600*(1-5/I8),0)&amp;" L"&amp;"
補水："&amp;ROUND(600*(1-5/I8),0)&amp;" L",IF(I8&lt;R8,"硫酸："&amp;ROUND((5-I8)*600/100/0.5,1)&amp;" L","")),"")</f>
        <v/>
      </c>
      <c r="M8" s="52"/>
      <c r="N8" s="59" t="str">
        <f>IF(M8="","",M8*0.04904*F!$B$3*100)</f>
        <v/>
      </c>
      <c r="O8" s="18" t="str">
        <f t="shared" ref="O8:O17" si="2">IF(N8="","",IF(OR(N8&lt;E8,N8&gt;G8),"NG","OK"))</f>
        <v/>
      </c>
      <c r="P8" s="54" t="s">
        <v>60</v>
      </c>
      <c r="Q8" s="55">
        <v>600</v>
      </c>
      <c r="R8" s="2">
        <v>4</v>
      </c>
      <c r="S8" s="46">
        <v>6</v>
      </c>
    </row>
    <row r="9" spans="1:22" ht="60" customHeight="1">
      <c r="A9" s="314"/>
      <c r="B9" s="315" t="s">
        <v>196</v>
      </c>
      <c r="C9" s="166" t="s">
        <v>228</v>
      </c>
      <c r="D9" s="56" t="s">
        <v>33</v>
      </c>
      <c r="E9" s="57">
        <v>90</v>
      </c>
      <c r="F9" s="50" t="s">
        <v>17</v>
      </c>
      <c r="G9" s="58">
        <v>110</v>
      </c>
      <c r="H9" s="52"/>
      <c r="I9" s="53" t="str">
        <f>IF(H9="","",H9*24.5*F!$B$6)</f>
        <v/>
      </c>
      <c r="J9" s="46" t="str">
        <f t="shared" si="0"/>
        <v/>
      </c>
      <c r="K9" s="2" t="str">
        <f t="shared" si="1"/>
        <v/>
      </c>
      <c r="L9" s="136" t="str">
        <f>IF(I9="","",IF(I9&gt;S9,"通知工程師",IF(I9&lt;R9,"硫酸："&amp;ROUND((100-I9)*14700/1400/0.5,1)&amp;" L","")))</f>
        <v/>
      </c>
      <c r="M9" s="52"/>
      <c r="N9" s="59" t="str">
        <f>IF(M9="","",M9*24.5*F!$B$6)</f>
        <v/>
      </c>
      <c r="O9" s="18" t="str">
        <f t="shared" si="2"/>
        <v/>
      </c>
      <c r="P9" s="54" t="s">
        <v>60</v>
      </c>
      <c r="Q9" s="55">
        <v>14700</v>
      </c>
      <c r="R9" s="2">
        <v>90</v>
      </c>
      <c r="S9" s="46">
        <v>110</v>
      </c>
    </row>
    <row r="10" spans="1:22" ht="60" customHeight="1">
      <c r="A10" s="314"/>
      <c r="B10" s="316"/>
      <c r="C10" s="158" t="s">
        <v>229</v>
      </c>
      <c r="D10" s="47" t="s">
        <v>245</v>
      </c>
      <c r="E10" s="49">
        <v>180</v>
      </c>
      <c r="F10" s="50" t="s">
        <v>17</v>
      </c>
      <c r="G10" s="1">
        <v>220</v>
      </c>
      <c r="H10" s="52"/>
      <c r="I10" s="59" t="str">
        <f>IF(H10="","",H10*6.25*F!$B$6)</f>
        <v/>
      </c>
      <c r="J10" s="46" t="str">
        <f t="shared" si="0"/>
        <v/>
      </c>
      <c r="K10" s="2" t="str">
        <f t="shared" si="1"/>
        <v/>
      </c>
      <c r="L10" s="136" t="str">
        <f>IF(I10="","",IF(I10&gt;S10,"通知工程師",IF(I10&lt;R10,"氧化銅："&amp;ROUND((200-I10)*14700/1000/0.799*0.9,1)&amp;" Kg","")))</f>
        <v/>
      </c>
      <c r="M10" s="52"/>
      <c r="N10" s="59" t="str">
        <f>IF(M10="","",M10*6.25*F!$B$6)</f>
        <v/>
      </c>
      <c r="O10" s="18" t="str">
        <f t="shared" si="2"/>
        <v/>
      </c>
      <c r="P10" s="54" t="s">
        <v>63</v>
      </c>
      <c r="Q10" s="55">
        <v>14700</v>
      </c>
      <c r="R10" s="2">
        <v>195</v>
      </c>
      <c r="S10" s="46">
        <v>205</v>
      </c>
      <c r="T10" s="14" t="s">
        <v>244</v>
      </c>
      <c r="U10" s="160">
        <v>46239</v>
      </c>
      <c r="V10" s="160">
        <v>46265</v>
      </c>
    </row>
    <row r="11" spans="1:22" ht="60" customHeight="1">
      <c r="A11" s="314"/>
      <c r="B11" s="316"/>
      <c r="C11" s="158" t="s">
        <v>230</v>
      </c>
      <c r="D11" s="60" t="s">
        <v>77</v>
      </c>
      <c r="E11" s="49">
        <v>25</v>
      </c>
      <c r="F11" s="50" t="s">
        <v>17</v>
      </c>
      <c r="G11" s="51">
        <v>35</v>
      </c>
      <c r="H11" s="52"/>
      <c r="I11" s="59" t="str">
        <f>IF(H11="","",H11*152)</f>
        <v/>
      </c>
      <c r="J11" s="46" t="str">
        <f t="shared" si="0"/>
        <v/>
      </c>
      <c r="K11" s="2" t="str">
        <f t="shared" si="1"/>
        <v/>
      </c>
      <c r="L11" s="136" t="str">
        <f>IF(I11="","",IF(I11&gt;S11,"通知工程師",IF(I11&lt;R11,"鹽酸："&amp;ROUND((30-I11)/0.0573,0)&amp;" mL","")))</f>
        <v/>
      </c>
      <c r="M11" s="52"/>
      <c r="N11" s="59" t="str">
        <f>IF(M11="","",M11*152)</f>
        <v/>
      </c>
      <c r="O11" s="18" t="str">
        <f t="shared" si="2"/>
        <v/>
      </c>
      <c r="P11" s="54" t="s">
        <v>65</v>
      </c>
      <c r="Q11" s="55">
        <v>14700</v>
      </c>
      <c r="R11" s="2">
        <v>25</v>
      </c>
      <c r="S11" s="46">
        <v>35</v>
      </c>
    </row>
    <row r="12" spans="1:22" ht="60" customHeight="1">
      <c r="A12" s="314"/>
      <c r="B12" s="316"/>
      <c r="C12" s="49" t="s">
        <v>187</v>
      </c>
      <c r="D12" s="47" t="s">
        <v>79</v>
      </c>
      <c r="E12" s="61">
        <v>2</v>
      </c>
      <c r="F12" s="62" t="s">
        <v>17</v>
      </c>
      <c r="G12" s="63">
        <v>6</v>
      </c>
      <c r="H12" s="5" t="s">
        <v>28</v>
      </c>
      <c r="I12" s="64"/>
      <c r="J12" s="46" t="str">
        <f t="shared" si="0"/>
        <v/>
      </c>
      <c r="K12" s="2" t="str">
        <f t="shared" si="1"/>
        <v/>
      </c>
      <c r="L12" s="136" t="str">
        <f>IF(K12="","",IF(I12&gt;S12,"排液："&amp;ROUND(14700*(1-4/I12),0)&amp;" L"&amp;"
補水："&amp;ROUND(14700*(1-4/I12),0)&amp;" L",IF(I12&lt;R12,"GAP-1："&amp;ROUND((4-I12)*14700/1000,1)&amp;" L","")))</f>
        <v/>
      </c>
      <c r="M12" s="5" t="s">
        <v>28</v>
      </c>
      <c r="N12" s="64"/>
      <c r="O12" s="18" t="str">
        <f t="shared" si="2"/>
        <v/>
      </c>
      <c r="P12" s="54" t="s">
        <v>78</v>
      </c>
      <c r="Q12" s="55">
        <v>14700</v>
      </c>
      <c r="R12" s="2">
        <v>2</v>
      </c>
      <c r="S12" s="46">
        <v>6</v>
      </c>
    </row>
    <row r="13" spans="1:22" ht="60" customHeight="1">
      <c r="A13" s="314"/>
      <c r="B13" s="316"/>
      <c r="C13" s="49" t="s">
        <v>185</v>
      </c>
      <c r="D13" s="47" t="s">
        <v>81</v>
      </c>
      <c r="E13" s="49">
        <v>2</v>
      </c>
      <c r="F13" s="50" t="s">
        <v>17</v>
      </c>
      <c r="G13" s="1">
        <v>4</v>
      </c>
      <c r="H13" s="5" t="s">
        <v>28</v>
      </c>
      <c r="I13" s="65"/>
      <c r="J13" s="46" t="str">
        <f t="shared" si="0"/>
        <v/>
      </c>
      <c r="K13" s="2" t="str">
        <f t="shared" si="1"/>
        <v/>
      </c>
      <c r="L13" s="136" t="str">
        <f>IF(K13="","",IF(I13&gt;S13,"排液："&amp;ROUND(14700*(1-3/I13),0)&amp;" L"&amp;"
補水："&amp;ROUND(14700*(1-3/I13),0)&amp;" L",IF(I13&lt;R13,"GAP-2："&amp;ROUND((3-I13)*14700/1000,1)&amp;" L","")))</f>
        <v/>
      </c>
      <c r="M13" s="5" t="s">
        <v>28</v>
      </c>
      <c r="N13" s="64"/>
      <c r="O13" s="18" t="str">
        <f t="shared" si="2"/>
        <v/>
      </c>
      <c r="P13" s="54" t="s">
        <v>80</v>
      </c>
      <c r="Q13" s="55">
        <v>14700</v>
      </c>
      <c r="R13" s="2">
        <v>2</v>
      </c>
      <c r="S13" s="46">
        <v>4</v>
      </c>
    </row>
    <row r="14" spans="1:22" ht="60" customHeight="1">
      <c r="A14" s="314"/>
      <c r="B14" s="317"/>
      <c r="C14" s="49" t="s">
        <v>186</v>
      </c>
      <c r="D14" s="56" t="s">
        <v>83</v>
      </c>
      <c r="E14" s="57">
        <v>9</v>
      </c>
      <c r="F14" s="50" t="s">
        <v>17</v>
      </c>
      <c r="G14" s="58">
        <v>15</v>
      </c>
      <c r="H14" s="5" t="s">
        <v>28</v>
      </c>
      <c r="I14" s="66"/>
      <c r="J14" s="46" t="str">
        <f t="shared" si="0"/>
        <v/>
      </c>
      <c r="K14" s="2" t="str">
        <f t="shared" si="1"/>
        <v/>
      </c>
      <c r="L14" s="136" t="str">
        <f>IF(K14="","",IF(I14&gt;S14,"排液："&amp;ROUND(14700*(1-12/I14),0)&amp;" L"&amp;"
補水："&amp;ROUND(14700*(1-12/I14),0)&amp;" L",IF(I14&lt;R14,"GAP-3："&amp;ROUND((12-I14)*14700/1000,1)&amp;" L","")))</f>
        <v/>
      </c>
      <c r="M14" s="5" t="s">
        <v>28</v>
      </c>
      <c r="N14" s="64"/>
      <c r="O14" s="18" t="str">
        <f t="shared" si="2"/>
        <v/>
      </c>
      <c r="P14" s="54" t="s">
        <v>82</v>
      </c>
      <c r="Q14" s="55">
        <v>14700</v>
      </c>
      <c r="R14" s="2">
        <v>9</v>
      </c>
      <c r="S14" s="46">
        <v>15</v>
      </c>
    </row>
    <row r="15" spans="1:22" ht="60" customHeight="1">
      <c r="A15" s="314"/>
      <c r="B15" s="318" t="s">
        <v>197</v>
      </c>
      <c r="C15" s="166" t="s">
        <v>228</v>
      </c>
      <c r="D15" s="47" t="s">
        <v>70</v>
      </c>
      <c r="E15" s="49">
        <v>100</v>
      </c>
      <c r="F15" s="50" t="s">
        <v>17</v>
      </c>
      <c r="G15" s="1">
        <v>200</v>
      </c>
      <c r="H15" s="52"/>
      <c r="I15" s="59" t="str">
        <f>IF(H15="","",H15*24.5*F!$B$3)</f>
        <v/>
      </c>
      <c r="J15" s="46" t="str">
        <f t="shared" si="0"/>
        <v/>
      </c>
      <c r="K15" s="2" t="str">
        <f t="shared" si="1"/>
        <v/>
      </c>
      <c r="L15" s="136" t="str">
        <f>IFERROR(IF(I15&gt;S15,"排液："&amp;ROUND(430*(1-150/I15),0)&amp;" L"&amp;"
補水："&amp;ROUND(430*(1-150/I15),0)&amp;" L",IF(I15&lt;R15,"硫酸："&amp;ROUND((150-I15)*430/1400/0.5,1)&amp;" L","")),"")</f>
        <v/>
      </c>
      <c r="M15" s="52"/>
      <c r="N15" s="59" t="str">
        <f>IF(M15="","",M15*24.5*F!$B$3)</f>
        <v/>
      </c>
      <c r="O15" s="18" t="str">
        <f t="shared" si="2"/>
        <v/>
      </c>
      <c r="P15" s="54" t="s">
        <v>60</v>
      </c>
      <c r="Q15" s="55">
        <v>430</v>
      </c>
      <c r="R15" s="2">
        <v>130</v>
      </c>
      <c r="S15" s="46">
        <v>170</v>
      </c>
    </row>
    <row r="16" spans="1:22" ht="60" customHeight="1">
      <c r="A16" s="314"/>
      <c r="B16" s="319"/>
      <c r="C16" s="158" t="s">
        <v>232</v>
      </c>
      <c r="D16" s="60" t="s">
        <v>37</v>
      </c>
      <c r="E16" s="70">
        <v>0</v>
      </c>
      <c r="F16" s="50" t="s">
        <v>17</v>
      </c>
      <c r="G16" s="68">
        <v>100</v>
      </c>
      <c r="H16" s="52"/>
      <c r="I16" s="53" t="str">
        <f>IF(H16="","",H16*63.54*F!$B$3*0.05)</f>
        <v/>
      </c>
      <c r="J16" s="46" t="str">
        <f t="shared" ref="J16" si="3">IF(I16="","",IF(OR(I16&lt;E16,I16&gt;G16),"NG","OK"))</f>
        <v/>
      </c>
      <c r="K16" s="2" t="str">
        <f>IF(I16="","",IF(I16&gt;S16,"更槽",""))</f>
        <v/>
      </c>
      <c r="L16" s="136"/>
      <c r="M16" s="52"/>
      <c r="N16" s="59" t="str">
        <f>IF(M16="","",M16*6.354*F!$B$3)</f>
        <v/>
      </c>
      <c r="O16" s="18" t="str">
        <f t="shared" ref="O16" si="4">IF(N16="","",IF(OR(N16&lt;E16,N16&gt;G16),"NG","OK"))</f>
        <v/>
      </c>
      <c r="P16" s="54" t="s">
        <v>73</v>
      </c>
      <c r="Q16" s="55">
        <v>430</v>
      </c>
      <c r="R16" s="2" t="s">
        <v>73</v>
      </c>
      <c r="S16" s="46">
        <v>100</v>
      </c>
    </row>
    <row r="17" spans="1:19" ht="60" customHeight="1">
      <c r="A17" s="314"/>
      <c r="B17" s="319"/>
      <c r="C17" s="217" t="s">
        <v>233</v>
      </c>
      <c r="D17" s="60" t="s">
        <v>72</v>
      </c>
      <c r="E17" s="67">
        <v>120</v>
      </c>
      <c r="F17" s="50" t="s">
        <v>17</v>
      </c>
      <c r="G17" s="68">
        <v>160</v>
      </c>
      <c r="H17" s="69"/>
      <c r="I17" s="53" t="str">
        <f>IF(H17="","",H17*4.857/0.5*F!$B$7)</f>
        <v/>
      </c>
      <c r="J17" s="46" t="str">
        <f t="shared" si="0"/>
        <v/>
      </c>
      <c r="K17" s="2" t="str">
        <f t="shared" si="1"/>
        <v/>
      </c>
      <c r="L17" s="136" t="str">
        <f>IFERROR(IF(I17&gt;S17,"排液："&amp;ROUND(430*(1-140/I17),0)&amp;" L"&amp;"
補水："&amp;ROUND(430*(1-140/I17),0)&amp;" L",IF(I17&lt;R17,"雙氧水："&amp;ROUND((140-I17)*430/1140,1)&amp;" L","")),"")</f>
        <v/>
      </c>
      <c r="M17" s="69"/>
      <c r="N17" s="59" t="str">
        <f>IF(M17="","",M17*9.714*F!$B$7)</f>
        <v/>
      </c>
      <c r="O17" s="18" t="str">
        <f t="shared" si="2"/>
        <v/>
      </c>
      <c r="P17" s="54" t="s">
        <v>71</v>
      </c>
      <c r="Q17" s="55">
        <v>430</v>
      </c>
      <c r="R17" s="2">
        <v>130</v>
      </c>
      <c r="S17" s="46">
        <v>150</v>
      </c>
    </row>
    <row r="18" spans="1:19" ht="18" customHeight="1">
      <c r="A18" s="71" t="s">
        <v>19</v>
      </c>
      <c r="B18" s="72"/>
      <c r="C18" s="72"/>
      <c r="D18" s="72"/>
      <c r="E18" s="72"/>
      <c r="F18" s="72"/>
      <c r="G18" s="72"/>
      <c r="H18" s="72"/>
      <c r="I18" s="72"/>
      <c r="J18" s="73"/>
    </row>
    <row r="19" spans="1:19" ht="18" customHeight="1">
      <c r="A19" s="74"/>
      <c r="B19" s="40"/>
      <c r="D19" s="40"/>
      <c r="E19" s="40"/>
      <c r="F19" s="40"/>
      <c r="G19" s="40"/>
      <c r="H19" s="40"/>
      <c r="I19" s="40"/>
      <c r="J19" s="75"/>
    </row>
    <row r="20" spans="1:19" ht="18" customHeight="1">
      <c r="A20" s="320"/>
      <c r="B20" s="321"/>
      <c r="C20" s="321"/>
      <c r="D20" s="321"/>
      <c r="E20" s="321"/>
      <c r="F20" s="321"/>
      <c r="G20" s="321"/>
      <c r="H20" s="321"/>
      <c r="I20" s="321"/>
      <c r="J20" s="322"/>
    </row>
    <row r="21" spans="1:19" ht="18" customHeight="1">
      <c r="A21" s="323"/>
      <c r="B21" s="324"/>
      <c r="C21" s="324"/>
      <c r="D21" s="324"/>
      <c r="E21" s="324"/>
      <c r="F21" s="324"/>
      <c r="G21" s="324"/>
      <c r="H21" s="324"/>
      <c r="I21" s="324"/>
      <c r="J21" s="325"/>
    </row>
    <row r="22" spans="1:19" ht="18" customHeight="1">
      <c r="A22" s="76" t="s">
        <v>21</v>
      </c>
      <c r="C22" s="77" t="s">
        <v>22</v>
      </c>
      <c r="H22" s="77" t="s">
        <v>23</v>
      </c>
    </row>
    <row r="23" spans="1:19" s="39" customFormat="1" ht="18" customHeight="1">
      <c r="C23" s="40"/>
      <c r="J23" s="40"/>
      <c r="K23" s="41"/>
      <c r="P23" s="41"/>
      <c r="Q23" s="41"/>
    </row>
    <row r="24" spans="1:19" s="39" customFormat="1" ht="18" customHeight="1">
      <c r="C24" s="40"/>
      <c r="J24" s="40"/>
      <c r="K24" s="41"/>
      <c r="P24" s="41"/>
      <c r="Q24" s="41"/>
    </row>
  </sheetData>
  <sheetProtection algorithmName="SHA-512" hashValue="U/LNTuxz1UFUu08zg4U59IaiPXkPBWIuW2paLKkEIiKPY1qAIWV33Ccfipilx0cXfwsf4gt1uhrHgBC4x924FQ==" saltValue="9LsoHIAvZgsM2DTyqLIVyw==" spinCount="100000" sheet="1" objects="1" scenarios="1"/>
  <mergeCells count="11">
    <mergeCell ref="E6:G6"/>
    <mergeCell ref="A7:A17"/>
    <mergeCell ref="B9:B14"/>
    <mergeCell ref="B15:B17"/>
    <mergeCell ref="A20:J21"/>
    <mergeCell ref="T5:V5"/>
    <mergeCell ref="A1:I1"/>
    <mergeCell ref="A2:J2"/>
    <mergeCell ref="B3:J3"/>
    <mergeCell ref="B4:J4"/>
    <mergeCell ref="B5:J5"/>
  </mergeCells>
  <phoneticPr fontId="17" type="noConversion"/>
  <conditionalFormatting sqref="J7:J17">
    <cfRule type="containsText" dxfId="5" priority="3" operator="containsText" text="NG">
      <formula>NOT(ISERROR(SEARCH("NG",J7)))</formula>
    </cfRule>
  </conditionalFormatting>
  <conditionalFormatting sqref="O7:O17">
    <cfRule type="containsText" dxfId="4" priority="1" operator="containsText" text="NG">
      <formula>NOT(ISERROR(SEARCH("NG",O7)))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V20"/>
  <sheetViews>
    <sheetView showGridLines="0" showZeros="0" zoomScale="40" zoomScaleNormal="40" workbookViewId="0">
      <selection activeCell="L35" sqref="L35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6" customWidth="1"/>
    <col min="12" max="12" width="50.625" style="17" customWidth="1"/>
    <col min="13" max="15" width="21.625" style="17" customWidth="1"/>
    <col min="16" max="16" width="30.625" style="16" hidden="1" customWidth="1"/>
    <col min="17" max="17" width="21.625" style="16" hidden="1" customWidth="1"/>
    <col min="18" max="19" width="21.625" style="17" hidden="1" customWidth="1"/>
    <col min="20" max="20" width="30.625" style="14" customWidth="1"/>
    <col min="21" max="22" width="30.625" style="160" customWidth="1"/>
    <col min="23" max="16384" width="9" style="17"/>
  </cols>
  <sheetData>
    <row r="1" spans="1:22" ht="27.75" customHeight="1">
      <c r="A1" s="233"/>
      <c r="B1" s="233"/>
      <c r="C1" s="233"/>
      <c r="D1" s="233"/>
      <c r="E1" s="233"/>
      <c r="F1" s="233"/>
      <c r="G1" s="233"/>
      <c r="H1" s="233"/>
      <c r="I1" s="233"/>
    </row>
    <row r="2" spans="1:22" ht="50.25">
      <c r="A2" s="234" t="s">
        <v>0</v>
      </c>
      <c r="B2" s="234"/>
      <c r="C2" s="234"/>
      <c r="D2" s="234"/>
      <c r="E2" s="234"/>
      <c r="F2" s="234"/>
      <c r="G2" s="234"/>
      <c r="H2" s="234"/>
      <c r="I2" s="234"/>
      <c r="J2" s="234"/>
    </row>
    <row r="3" spans="1:22" ht="35.1" customHeight="1">
      <c r="A3" s="18" t="s">
        <v>1</v>
      </c>
      <c r="B3" s="235" t="s">
        <v>152</v>
      </c>
      <c r="C3" s="236"/>
      <c r="D3" s="236"/>
      <c r="E3" s="236"/>
      <c r="F3" s="236"/>
      <c r="G3" s="236"/>
      <c r="H3" s="236"/>
      <c r="I3" s="236"/>
      <c r="J3" s="237"/>
    </row>
    <row r="4" spans="1:22" ht="35.1" customHeight="1">
      <c r="A4" s="18" t="s">
        <v>2</v>
      </c>
      <c r="B4" s="294"/>
      <c r="C4" s="295"/>
      <c r="D4" s="295"/>
      <c r="E4" s="295"/>
      <c r="F4" s="295"/>
      <c r="G4" s="295"/>
      <c r="H4" s="295"/>
      <c r="I4" s="295"/>
      <c r="J4" s="296"/>
    </row>
    <row r="5" spans="1:22" ht="35.1" customHeight="1">
      <c r="A5" s="18" t="s">
        <v>3</v>
      </c>
      <c r="B5" s="235"/>
      <c r="C5" s="236"/>
      <c r="D5" s="236"/>
      <c r="E5" s="236"/>
      <c r="F5" s="236"/>
      <c r="G5" s="236"/>
      <c r="H5" s="236"/>
      <c r="I5" s="236"/>
      <c r="J5" s="237"/>
      <c r="K5" s="19"/>
      <c r="M5" s="138" t="s">
        <v>140</v>
      </c>
      <c r="N5" s="138"/>
      <c r="O5" s="138"/>
      <c r="P5" s="15"/>
      <c r="Q5" s="15"/>
      <c r="T5" s="261" t="s">
        <v>158</v>
      </c>
      <c r="U5" s="261"/>
      <c r="V5" s="261"/>
    </row>
    <row r="6" spans="1:22" ht="35.1" customHeight="1">
      <c r="A6" s="18" t="s">
        <v>1</v>
      </c>
      <c r="B6" s="18" t="s">
        <v>4</v>
      </c>
      <c r="C6" s="20" t="s">
        <v>5</v>
      </c>
      <c r="D6" s="20" t="s">
        <v>6</v>
      </c>
      <c r="E6" s="304" t="s">
        <v>7</v>
      </c>
      <c r="F6" s="282"/>
      <c r="G6" s="283"/>
      <c r="H6" s="20" t="s">
        <v>8</v>
      </c>
      <c r="I6" s="21" t="s">
        <v>9</v>
      </c>
      <c r="J6" s="20" t="s">
        <v>10</v>
      </c>
      <c r="K6" s="22" t="s">
        <v>141</v>
      </c>
      <c r="L6" s="22" t="s">
        <v>13</v>
      </c>
      <c r="M6" s="20" t="s">
        <v>8</v>
      </c>
      <c r="N6" s="20" t="s">
        <v>9</v>
      </c>
      <c r="O6" s="47" t="s">
        <v>10</v>
      </c>
      <c r="P6" s="22" t="s">
        <v>12</v>
      </c>
      <c r="Q6" s="22" t="s">
        <v>57</v>
      </c>
      <c r="R6" s="22" t="s">
        <v>15</v>
      </c>
      <c r="S6" s="22" t="s">
        <v>58</v>
      </c>
      <c r="T6" s="161" t="s">
        <v>159</v>
      </c>
      <c r="U6" s="161" t="s">
        <v>160</v>
      </c>
      <c r="V6" s="161" t="s">
        <v>161</v>
      </c>
    </row>
    <row r="7" spans="1:22" ht="60" customHeight="1">
      <c r="A7" s="241" t="s">
        <v>173</v>
      </c>
      <c r="B7" s="281" t="s">
        <v>199</v>
      </c>
      <c r="C7" s="216" t="s">
        <v>198</v>
      </c>
      <c r="D7" s="18" t="s">
        <v>84</v>
      </c>
      <c r="E7" s="23">
        <v>150</v>
      </c>
      <c r="F7" s="24" t="s">
        <v>17</v>
      </c>
      <c r="G7" s="25">
        <v>400</v>
      </c>
      <c r="H7" s="137"/>
      <c r="I7" s="3" t="str">
        <f>IF(H7="","",(25-H7)*13.3)</f>
        <v/>
      </c>
      <c r="J7" s="18" t="str">
        <f>IF(I7="","",IF(OR(I7&lt;E7,I7&gt;G7),"NG","OK"))</f>
        <v/>
      </c>
      <c r="K7" s="22" t="str">
        <f>IF(I7="","",IF(I7&lt;R7,"添加",IF(I7&gt;S7,"稀釋","")))</f>
        <v/>
      </c>
      <c r="L7" s="81" t="str">
        <f>IFERROR(IF(I7&gt;S7,"排液："&amp;ROUND(600*(1-S7/I7),0)&amp;" L"&amp;"
補水："&amp;ROUND(600*(1-S7/I7),0)&amp;" L",IF(I7&lt;R7,"OPC PARRADELETE："&amp;ROUND((240-I7)*600/1000,1)&amp;" L","")),"")</f>
        <v/>
      </c>
      <c r="M7" s="99"/>
      <c r="N7" s="79" t="str">
        <f>IF(M7="","",(25-M7)*13.3)</f>
        <v/>
      </c>
      <c r="O7" s="18" t="str">
        <f>IF(N7="","",IF(OR(N7&lt;E7,N7&gt;G7),"NG","OK"))</f>
        <v/>
      </c>
      <c r="P7" s="135" t="s">
        <v>132</v>
      </c>
      <c r="Q7" s="22">
        <v>600</v>
      </c>
      <c r="R7" s="22">
        <v>220</v>
      </c>
      <c r="S7" s="18">
        <v>290</v>
      </c>
    </row>
    <row r="8" spans="1:22" ht="60" customHeight="1">
      <c r="A8" s="242"/>
      <c r="B8" s="281"/>
      <c r="C8" s="158" t="s">
        <v>235</v>
      </c>
      <c r="D8" s="27" t="s">
        <v>85</v>
      </c>
      <c r="E8" s="28">
        <v>0.3</v>
      </c>
      <c r="F8" s="24" t="s">
        <v>17</v>
      </c>
      <c r="G8" s="29">
        <v>0.8</v>
      </c>
      <c r="H8" s="137"/>
      <c r="I8" s="3" t="str">
        <f>IF(H8="","",H8*0.93)</f>
        <v/>
      </c>
      <c r="J8" s="18" t="str">
        <f t="shared" ref="J8:J13" si="0">IF(I8="","",IF(OR(I8&lt;E8,I8&gt;G8),"NG","OK"))</f>
        <v/>
      </c>
      <c r="K8" s="22" t="str">
        <f t="shared" ref="K8:K12" si="1">IF(I8="","",IF(I8&lt;R8,"添加",IF(I8&gt;S8,"稀釋","")))</f>
        <v/>
      </c>
      <c r="L8" s="81" t="str">
        <f>IF(I8="","",IF(I8&gt;S8,"通知工程師",IF(I8&lt;R8,"SPS："&amp;ROUND((0.55-I8)*600,1)&amp;" g","")))</f>
        <v/>
      </c>
      <c r="M8" s="99"/>
      <c r="N8" s="79" t="str">
        <f>IF(M8="","",M8*0.93)</f>
        <v/>
      </c>
      <c r="O8" s="18" t="str">
        <f t="shared" ref="O8:O13" si="2">IF(N8="","",IF(OR(N8&lt;E8,N8&gt;G8),"NG","OK"))</f>
        <v/>
      </c>
      <c r="P8" s="4" t="s">
        <v>117</v>
      </c>
      <c r="Q8" s="22">
        <v>600</v>
      </c>
      <c r="R8" s="22">
        <v>0.4</v>
      </c>
      <c r="S8" s="132">
        <v>0.8</v>
      </c>
    </row>
    <row r="9" spans="1:22" ht="60" customHeight="1">
      <c r="A9" s="242"/>
      <c r="B9" s="326"/>
      <c r="C9" s="26" t="s">
        <v>162</v>
      </c>
      <c r="D9" s="162" t="s">
        <v>163</v>
      </c>
      <c r="E9" s="28"/>
      <c r="F9" s="24"/>
      <c r="G9" s="29"/>
      <c r="H9" s="100" t="s">
        <v>28</v>
      </c>
      <c r="I9" s="6"/>
      <c r="J9" s="155"/>
      <c r="K9" s="157"/>
      <c r="L9" s="158"/>
      <c r="M9" s="156"/>
      <c r="N9" s="163"/>
      <c r="O9" s="155"/>
      <c r="P9" s="164"/>
      <c r="Q9" s="157"/>
      <c r="R9" s="157"/>
      <c r="S9" s="165"/>
      <c r="T9" s="14" t="s">
        <v>236</v>
      </c>
      <c r="U9" s="160">
        <v>46223</v>
      </c>
      <c r="V9" s="160">
        <v>46315</v>
      </c>
    </row>
    <row r="10" spans="1:22" ht="60" customHeight="1">
      <c r="A10" s="242"/>
      <c r="B10" s="281"/>
      <c r="C10" s="18" t="s">
        <v>26</v>
      </c>
      <c r="D10" s="18" t="s">
        <v>86</v>
      </c>
      <c r="E10" s="23">
        <v>9.8000000000000007</v>
      </c>
      <c r="F10" s="24" t="s">
        <v>17</v>
      </c>
      <c r="G10" s="25">
        <v>10.199999999999999</v>
      </c>
      <c r="H10" s="100" t="s">
        <v>28</v>
      </c>
      <c r="I10" s="6"/>
      <c r="J10" s="18" t="str">
        <f t="shared" si="0"/>
        <v/>
      </c>
      <c r="K10" s="22" t="str">
        <f t="shared" si="1"/>
        <v/>
      </c>
      <c r="L10" s="158" t="str">
        <f>IF(I10="","",IF(I10&gt;S10,"通知工程師",IF(I10&lt;R10,"NaOH："&amp;ROUND((10-I10)*300*10,1)&amp;" ml","")))</f>
        <v/>
      </c>
      <c r="M10" s="100" t="s">
        <v>28</v>
      </c>
      <c r="N10" s="7"/>
      <c r="O10" s="18" t="str">
        <f t="shared" si="2"/>
        <v/>
      </c>
      <c r="P10" s="4" t="s">
        <v>133</v>
      </c>
      <c r="Q10" s="22">
        <v>600</v>
      </c>
      <c r="R10" s="22">
        <v>9.9</v>
      </c>
      <c r="S10" s="18">
        <v>10.15</v>
      </c>
    </row>
    <row r="11" spans="1:22" ht="60" customHeight="1">
      <c r="A11" s="242"/>
      <c r="B11" s="20" t="s">
        <v>194</v>
      </c>
      <c r="C11" s="18" t="s">
        <v>202</v>
      </c>
      <c r="D11" s="18" t="s">
        <v>74</v>
      </c>
      <c r="E11" s="23">
        <v>80</v>
      </c>
      <c r="F11" s="24" t="s">
        <v>17</v>
      </c>
      <c r="G11" s="25">
        <v>120</v>
      </c>
      <c r="H11" s="137"/>
      <c r="I11" s="79" t="str">
        <f>IF(H11="","",H11*7.5*4*F!$B$3)</f>
        <v/>
      </c>
      <c r="J11" s="18" t="str">
        <f t="shared" si="0"/>
        <v/>
      </c>
      <c r="K11" s="22" t="str">
        <f t="shared" si="1"/>
        <v/>
      </c>
      <c r="L11" s="81" t="str">
        <f>IFERROR(IF(I11&gt;S11,"排液："&amp;ROUND(500*(1-S11/I11),0)&amp;" L"&amp;"
補水："&amp;ROUND(500*(1-S11/I11),0)&amp;" L",IF(I11&lt;R11,"OPC PARRARINSE："&amp;ROUND((100-I11)*500/500,1)&amp;" L","")),"")</f>
        <v/>
      </c>
      <c r="M11" s="137"/>
      <c r="N11" s="79" t="str">
        <f>IF(M11="","",M11*7.5*4*F!$B$3)</f>
        <v/>
      </c>
      <c r="O11" s="18" t="str">
        <f t="shared" si="2"/>
        <v/>
      </c>
      <c r="P11" s="135" t="s">
        <v>134</v>
      </c>
      <c r="Q11" s="22">
        <v>500</v>
      </c>
      <c r="R11" s="22">
        <v>90</v>
      </c>
      <c r="S11" s="18">
        <v>119</v>
      </c>
    </row>
    <row r="12" spans="1:22" ht="60" customHeight="1">
      <c r="A12" s="242"/>
      <c r="B12" s="18" t="s">
        <v>200</v>
      </c>
      <c r="C12" s="166" t="s">
        <v>224</v>
      </c>
      <c r="D12" s="26" t="s">
        <v>76</v>
      </c>
      <c r="E12" s="30">
        <v>4</v>
      </c>
      <c r="F12" s="24" t="s">
        <v>17</v>
      </c>
      <c r="G12" s="31">
        <v>6</v>
      </c>
      <c r="H12" s="137"/>
      <c r="I12" s="79" t="str">
        <f>IF(H12="","",H12*0.04904*F!$B$7*100)</f>
        <v/>
      </c>
      <c r="J12" s="18" t="str">
        <f t="shared" si="0"/>
        <v/>
      </c>
      <c r="K12" s="22" t="str">
        <f t="shared" si="1"/>
        <v/>
      </c>
      <c r="L12" s="158" t="str">
        <f>IFERROR(IF(I12&gt;S12,"排液："&amp;ROUND(60*(1-S12/I12),0)&amp;" L"&amp;"
補水："&amp;ROUND(60*(1-S12/I12)/0.5/1.4,0)&amp;" L",IF(I12&lt;R12,"硫酸(50%)："&amp;ROUND(60*(5-I12)/100/0.5/1.4,1)&amp;"L","")),"")</f>
        <v/>
      </c>
      <c r="M12" s="137"/>
      <c r="N12" s="79" t="str">
        <f>IF(M12="","",M12*0.04904*F!$B$7*100)</f>
        <v/>
      </c>
      <c r="O12" s="18" t="str">
        <f t="shared" si="2"/>
        <v/>
      </c>
      <c r="P12" s="4" t="s">
        <v>136</v>
      </c>
      <c r="Q12" s="22">
        <v>70</v>
      </c>
      <c r="R12" s="22">
        <v>4.5</v>
      </c>
      <c r="S12" s="18">
        <v>5.9</v>
      </c>
    </row>
    <row r="13" spans="1:22" ht="60" customHeight="1">
      <c r="A13" s="242"/>
      <c r="B13" s="20" t="s">
        <v>201</v>
      </c>
      <c r="C13" s="26" t="s">
        <v>26</v>
      </c>
      <c r="D13" s="20" t="s">
        <v>87</v>
      </c>
      <c r="E13" s="23">
        <v>5</v>
      </c>
      <c r="F13" s="24" t="s">
        <v>17</v>
      </c>
      <c r="G13" s="32">
        <v>999</v>
      </c>
      <c r="H13" s="100" t="s">
        <v>28</v>
      </c>
      <c r="I13" s="7"/>
      <c r="J13" s="18" t="str">
        <f t="shared" si="0"/>
        <v/>
      </c>
      <c r="K13" s="22" t="str">
        <f>IF(I13="","",IF(I13&lt;R13,"更槽",""))</f>
        <v/>
      </c>
      <c r="L13" s="81"/>
      <c r="M13" s="100" t="s">
        <v>28</v>
      </c>
      <c r="N13" s="7"/>
      <c r="O13" s="18" t="str">
        <f t="shared" si="2"/>
        <v/>
      </c>
      <c r="P13" s="4" t="s">
        <v>124</v>
      </c>
      <c r="Q13" s="22">
        <v>400</v>
      </c>
      <c r="R13" s="22">
        <v>5</v>
      </c>
      <c r="S13" s="18">
        <v>7</v>
      </c>
    </row>
    <row r="14" spans="1:22" ht="18" customHeight="1">
      <c r="A14" s="33" t="s">
        <v>19</v>
      </c>
      <c r="B14" s="34"/>
      <c r="C14" s="34"/>
      <c r="D14" s="34"/>
      <c r="E14" s="34"/>
      <c r="F14" s="34"/>
      <c r="G14" s="34"/>
      <c r="H14" s="34"/>
      <c r="I14" s="34" t="s">
        <v>20</v>
      </c>
      <c r="J14" s="35"/>
    </row>
    <row r="15" spans="1:22" ht="18" customHeight="1">
      <c r="A15" s="19"/>
      <c r="B15" s="15"/>
      <c r="D15" s="15"/>
      <c r="E15" s="15"/>
      <c r="F15" s="15"/>
      <c r="G15" s="15"/>
      <c r="H15" s="15"/>
      <c r="I15" s="15"/>
      <c r="J15" s="36"/>
    </row>
    <row r="16" spans="1:22" ht="18" customHeight="1">
      <c r="A16" s="272"/>
      <c r="B16" s="273"/>
      <c r="C16" s="274"/>
      <c r="D16" s="274"/>
      <c r="E16" s="274"/>
      <c r="F16" s="274"/>
      <c r="G16" s="274"/>
      <c r="H16" s="274"/>
      <c r="I16" s="274"/>
      <c r="J16" s="275"/>
    </row>
    <row r="17" spans="1:10" ht="18" customHeight="1">
      <c r="A17" s="276"/>
      <c r="B17" s="277"/>
      <c r="C17" s="277"/>
      <c r="D17" s="277"/>
      <c r="E17" s="277"/>
      <c r="F17" s="277"/>
      <c r="G17" s="277"/>
      <c r="H17" s="277"/>
      <c r="I17" s="277"/>
      <c r="J17" s="278"/>
    </row>
    <row r="18" spans="1:10" ht="18" customHeight="1">
      <c r="A18" s="37" t="s">
        <v>21</v>
      </c>
      <c r="C18" s="38" t="s">
        <v>22</v>
      </c>
      <c r="H18" s="38" t="s">
        <v>23</v>
      </c>
    </row>
    <row r="19" spans="1:10" ht="18" customHeight="1"/>
    <row r="20" spans="1:10" ht="18" customHeight="1"/>
  </sheetData>
  <sheetProtection algorithmName="SHA-512" hashValue="iFCm196cYk4+hwVzYlzqm7sp1fpnHSEk2br2BKSRKiMQUAnrkkMjRgQljwR2q1JK01IrJa2JLv84+u7FW7tSRQ==" saltValue="3AKjIFdW+QIQmzzXK9ECng==" spinCount="100000" sheet="1" objects="1" scenarios="1"/>
  <mergeCells count="10">
    <mergeCell ref="T5:V5"/>
    <mergeCell ref="E6:G6"/>
    <mergeCell ref="A7:A13"/>
    <mergeCell ref="B7:B10"/>
    <mergeCell ref="A16:J17"/>
    <mergeCell ref="A1:I1"/>
    <mergeCell ref="A2:J2"/>
    <mergeCell ref="B3:J3"/>
    <mergeCell ref="B4:J4"/>
    <mergeCell ref="B5:J5"/>
  </mergeCells>
  <phoneticPr fontId="17" type="noConversion"/>
  <conditionalFormatting sqref="J7:J13 O7:P13">
    <cfRule type="containsText" dxfId="3" priority="5" operator="containsText" text="NG">
      <formula>NOT(ISERROR(SEARCH("NG",J7)))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V33"/>
  <sheetViews>
    <sheetView showGridLines="0" zoomScale="40" zoomScaleNormal="40" workbookViewId="0">
      <pane xSplit="1" ySplit="6" topLeftCell="B7" activePane="bottomRight" state="frozen"/>
      <selection activeCell="K36" sqref="K36"/>
      <selection pane="topRight" activeCell="K36" sqref="K36"/>
      <selection pane="bottomLeft" activeCell="K36" sqref="K36"/>
      <selection pane="bottomRight" activeCell="I22" sqref="I22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17" customWidth="1"/>
    <col min="12" max="12" width="50.625" style="117" customWidth="1"/>
    <col min="13" max="15" width="21.625" style="117" customWidth="1"/>
    <col min="16" max="16" width="30.625" style="117" hidden="1" customWidth="1"/>
    <col min="17" max="18" width="21.625" style="117" hidden="1" customWidth="1"/>
    <col min="19" max="19" width="21.625" hidden="1" customWidth="1"/>
    <col min="20" max="22" width="30.625" style="17" customWidth="1"/>
    <col min="23" max="16384" width="9" style="17"/>
  </cols>
  <sheetData>
    <row r="1" spans="1:22" ht="27.75" customHeight="1">
      <c r="A1" s="233"/>
      <c r="B1" s="233"/>
      <c r="C1" s="233"/>
      <c r="D1" s="233"/>
      <c r="E1" s="233"/>
      <c r="F1" s="233"/>
      <c r="G1" s="233"/>
      <c r="H1" s="233"/>
      <c r="I1" s="233"/>
    </row>
    <row r="2" spans="1:22" ht="50.25">
      <c r="A2" s="234" t="s">
        <v>0</v>
      </c>
      <c r="B2" s="234"/>
      <c r="C2" s="234"/>
      <c r="D2" s="234"/>
      <c r="E2" s="234"/>
      <c r="F2" s="234"/>
      <c r="G2" s="234"/>
      <c r="H2" s="234"/>
      <c r="I2" s="234"/>
      <c r="J2" s="234"/>
    </row>
    <row r="3" spans="1:22" ht="35.1" customHeight="1">
      <c r="A3" s="18" t="s">
        <v>1</v>
      </c>
      <c r="B3" s="235" t="s">
        <v>153</v>
      </c>
      <c r="C3" s="236"/>
      <c r="D3" s="236"/>
      <c r="E3" s="236"/>
      <c r="F3" s="236"/>
      <c r="G3" s="236"/>
      <c r="H3" s="236"/>
      <c r="I3" s="236"/>
      <c r="J3" s="237"/>
    </row>
    <row r="4" spans="1:22" ht="35.1" customHeight="1">
      <c r="A4" s="18" t="s">
        <v>2</v>
      </c>
      <c r="B4" s="294"/>
      <c r="C4" s="295"/>
      <c r="D4" s="295"/>
      <c r="E4" s="295"/>
      <c r="F4" s="295"/>
      <c r="G4" s="295"/>
      <c r="H4" s="295"/>
      <c r="I4" s="295"/>
      <c r="J4" s="296"/>
    </row>
    <row r="5" spans="1:22" ht="35.1" customHeight="1">
      <c r="A5" s="18" t="s">
        <v>3</v>
      </c>
      <c r="B5" s="266"/>
      <c r="C5" s="267"/>
      <c r="D5" s="267"/>
      <c r="E5" s="267"/>
      <c r="F5" s="267"/>
      <c r="G5" s="267"/>
      <c r="H5" s="267"/>
      <c r="I5" s="267"/>
      <c r="J5" s="268"/>
      <c r="M5" s="138" t="s">
        <v>140</v>
      </c>
      <c r="N5" s="138"/>
      <c r="O5" s="138"/>
      <c r="T5" s="261" t="s">
        <v>158</v>
      </c>
      <c r="U5" s="261"/>
      <c r="V5" s="261"/>
    </row>
    <row r="6" spans="1:22" ht="35.1" customHeight="1">
      <c r="A6" s="18" t="s">
        <v>1</v>
      </c>
      <c r="B6" s="18" t="s">
        <v>4</v>
      </c>
      <c r="C6" s="20" t="s">
        <v>5</v>
      </c>
      <c r="D6" s="20" t="s">
        <v>6</v>
      </c>
      <c r="E6" s="304" t="s">
        <v>7</v>
      </c>
      <c r="F6" s="282"/>
      <c r="G6" s="283"/>
      <c r="H6" s="20" t="s">
        <v>8</v>
      </c>
      <c r="I6" s="21" t="s">
        <v>9</v>
      </c>
      <c r="J6" s="20" t="s">
        <v>10</v>
      </c>
      <c r="K6" s="1" t="s">
        <v>11</v>
      </c>
      <c r="L6" s="2" t="s">
        <v>13</v>
      </c>
      <c r="M6" s="20" t="s">
        <v>8</v>
      </c>
      <c r="N6" s="20" t="s">
        <v>9</v>
      </c>
      <c r="O6" s="47" t="s">
        <v>10</v>
      </c>
      <c r="P6" s="2" t="s">
        <v>12</v>
      </c>
      <c r="Q6" s="2" t="s">
        <v>14</v>
      </c>
      <c r="R6" s="2" t="s">
        <v>15</v>
      </c>
      <c r="S6" s="18" t="s">
        <v>58</v>
      </c>
      <c r="T6" s="161" t="s">
        <v>159</v>
      </c>
      <c r="U6" s="161" t="s">
        <v>160</v>
      </c>
      <c r="V6" s="161" t="s">
        <v>161</v>
      </c>
    </row>
    <row r="7" spans="1:22" ht="60" customHeight="1">
      <c r="A7" s="241" t="s">
        <v>169</v>
      </c>
      <c r="B7" s="20" t="s">
        <v>204</v>
      </c>
      <c r="C7" s="166" t="s">
        <v>224</v>
      </c>
      <c r="D7" s="18" t="s">
        <v>81</v>
      </c>
      <c r="E7" s="23">
        <v>2</v>
      </c>
      <c r="F7" s="24" t="s">
        <v>17</v>
      </c>
      <c r="G7" s="25">
        <v>4</v>
      </c>
      <c r="H7" s="167"/>
      <c r="I7" s="3" t="str">
        <f>IF(H7="","",0.04904*H7*F!$B$3*100)</f>
        <v/>
      </c>
      <c r="J7" s="18" t="str">
        <f>IF(I7="","",IF(OR(I7&lt;E7,I7&gt;G7),"NG","OK"))</f>
        <v/>
      </c>
      <c r="K7" s="22" t="str">
        <f>IF(I7="","",IF(I7&lt;R7,"添加",IF(I7&gt;S7,"稀釋","")))</f>
        <v/>
      </c>
      <c r="L7" s="218" t="str">
        <f>IFERROR(IF(I7&gt;S7, "排液："&amp;ROUND(70*(1-3/I7)*0.5/1.4,1)&amp;" L"&amp;"
補水："&amp;ROUND(70*(1-3/I7)*0.5/1.4,1)&amp;" L", IF(I7&lt;R7, "硫酸(50%)："&amp;ROUND(((3-I7)*70/100)/0.5/1.4, 2)&amp;" L", "")), "")</f>
        <v/>
      </c>
      <c r="M7" s="9"/>
      <c r="N7" s="79" t="str">
        <f>IF(M7="","",0.04904*M7*F!$B$3*100)</f>
        <v/>
      </c>
      <c r="O7" s="18" t="str">
        <f>IF(N7="","",IF(OR(N7&lt;E7,N7&gt;G7),"NG","OK"))</f>
        <v/>
      </c>
      <c r="P7" s="81" t="s">
        <v>136</v>
      </c>
      <c r="Q7" s="158">
        <v>70</v>
      </c>
      <c r="R7" s="158">
        <v>2.5</v>
      </c>
      <c r="S7" s="157">
        <v>3.9</v>
      </c>
    </row>
    <row r="8" spans="1:22" ht="60" customHeight="1">
      <c r="A8" s="242"/>
      <c r="B8" s="245" t="s">
        <v>205</v>
      </c>
      <c r="C8" s="158" t="s">
        <v>232</v>
      </c>
      <c r="D8" s="27" t="s">
        <v>88</v>
      </c>
      <c r="E8" s="106">
        <v>0</v>
      </c>
      <c r="F8" s="24" t="s">
        <v>17</v>
      </c>
      <c r="G8" s="29">
        <v>42</v>
      </c>
      <c r="H8" s="167"/>
      <c r="I8" s="3" t="str">
        <f>IF(H8="","",3.177*H8*F!$B$6)</f>
        <v/>
      </c>
      <c r="J8" s="18" t="str">
        <f t="shared" ref="J8:J26" si="0">IF(I8="","",IF(OR(I8&lt;E8,I8&gt;G8),"NG","OK"))</f>
        <v/>
      </c>
      <c r="K8" s="22" t="str">
        <f>IF(I8="","",IF(I8&lt;R8,"添加",IF(I8&gt;S8,"稀釋","")))</f>
        <v/>
      </c>
      <c r="L8" s="219" t="str">
        <f>IF(I8="","",IF(I8&gt;S8,"通知工程師",IF(I8&lt;R8, "UT-4100M："&amp;ROUND(((39-I8)*300/1000), 2)&amp;" L", "")))</f>
        <v/>
      </c>
      <c r="M8" s="9"/>
      <c r="N8" s="79" t="str">
        <f>IF(M8="","",3.177*M8*F!$B$6)</f>
        <v/>
      </c>
      <c r="O8" s="18" t="str">
        <f t="shared" ref="O8:O26" si="1">IF(N8="","",IF(OR(N8&lt;E8,N8&gt;G8),"NG","OK"))</f>
        <v/>
      </c>
      <c r="P8" s="270" t="s">
        <v>114</v>
      </c>
      <c r="Q8" s="258">
        <v>300</v>
      </c>
      <c r="R8" s="158">
        <v>35</v>
      </c>
      <c r="S8" s="157">
        <v>40</v>
      </c>
      <c r="T8" s="118"/>
    </row>
    <row r="9" spans="1:22" ht="60" customHeight="1">
      <c r="A9" s="242"/>
      <c r="B9" s="248"/>
      <c r="C9" s="20" t="s">
        <v>243</v>
      </c>
      <c r="D9" s="18" t="s">
        <v>89</v>
      </c>
      <c r="E9" s="23">
        <v>1.05</v>
      </c>
      <c r="F9" s="24" t="s">
        <v>17</v>
      </c>
      <c r="G9" s="25">
        <v>1.1499999999999999</v>
      </c>
      <c r="H9" s="174" t="s">
        <v>28</v>
      </c>
      <c r="I9" s="6"/>
      <c r="J9" s="18" t="str">
        <f t="shared" si="0"/>
        <v/>
      </c>
      <c r="K9" s="22" t="str">
        <f>IF(I9="","",IF(I9&lt;R9,"添加",IF(I9&gt;S9,"稀釋","")))</f>
        <v/>
      </c>
      <c r="L9" s="219" t="str">
        <f>IF(I9="","",IF(I9&gt;S9,"通知工程師",IF(I9="","", IF(I9&lt;R9, "UT-4100M："&amp;ROUND(((1.07-I9)*400), 2)&amp;" L", ""))))</f>
        <v/>
      </c>
      <c r="M9" s="5" t="s">
        <v>28</v>
      </c>
      <c r="N9" s="7"/>
      <c r="O9" s="18" t="str">
        <f t="shared" si="1"/>
        <v/>
      </c>
      <c r="P9" s="270"/>
      <c r="Q9" s="258"/>
      <c r="R9" s="158">
        <v>1.07</v>
      </c>
      <c r="S9" s="157">
        <v>1.1399999999999999</v>
      </c>
    </row>
    <row r="10" spans="1:22" ht="60" customHeight="1">
      <c r="A10" s="242"/>
      <c r="B10" s="247" t="s">
        <v>200</v>
      </c>
      <c r="C10" s="158" t="s">
        <v>237</v>
      </c>
      <c r="D10" s="18" t="s">
        <v>81</v>
      </c>
      <c r="E10" s="23">
        <v>2</v>
      </c>
      <c r="F10" s="24" t="s">
        <v>17</v>
      </c>
      <c r="G10" s="25">
        <v>4</v>
      </c>
      <c r="H10" s="167"/>
      <c r="I10" s="3" t="str">
        <f>IF(H10="","",3.646*H10*F!$B$3)</f>
        <v/>
      </c>
      <c r="J10" s="18" t="str">
        <f t="shared" si="0"/>
        <v/>
      </c>
      <c r="K10" s="22" t="str">
        <f>IF(I10="","",IF(I10&lt;R10,"添加",IF(I10&gt;S10,"稀釋","")))</f>
        <v/>
      </c>
      <c r="L10" s="218" t="str">
        <f>IFERROR(IF(I10&gt;S10, "排液："&amp;ROUND(70*(1-3/I10)*0.32,1)&amp;" L"&amp;"
補水："&amp;ROUND(70*(1-3/I10)*0.32,1)&amp;" L", IF(I10&lt;R10, "鹽酸(32%)："&amp;ROUND(((3-I10)*70/100)/0.32/1.16, 1)&amp;" L", "")), "")</f>
        <v/>
      </c>
      <c r="M10" s="9"/>
      <c r="N10" s="79" t="str">
        <f>IF(M10="","",3.646*M10*F!$B$3)</f>
        <v/>
      </c>
      <c r="O10" s="18" t="str">
        <f t="shared" si="1"/>
        <v/>
      </c>
      <c r="P10" s="249" t="s">
        <v>139</v>
      </c>
      <c r="Q10" s="258">
        <v>70</v>
      </c>
      <c r="R10" s="158">
        <v>2.5</v>
      </c>
      <c r="S10" s="157">
        <v>3.9</v>
      </c>
    </row>
    <row r="11" spans="1:22" ht="60" customHeight="1">
      <c r="A11" s="242"/>
      <c r="B11" s="248"/>
      <c r="C11" s="158" t="s">
        <v>239</v>
      </c>
      <c r="D11" s="26" t="s">
        <v>90</v>
      </c>
      <c r="E11" s="123">
        <v>0</v>
      </c>
      <c r="F11" s="24" t="s">
        <v>17</v>
      </c>
      <c r="G11" s="31">
        <v>300</v>
      </c>
      <c r="H11" s="167"/>
      <c r="I11" s="3" t="str">
        <f>IF(H11="","",H11*1.5885*2/25*1000)</f>
        <v/>
      </c>
      <c r="J11" s="18" t="str">
        <f t="shared" si="0"/>
        <v/>
      </c>
      <c r="K11" s="22" t="str">
        <f>IF(I11="","",IF(I11&gt;S11,"更槽",""))</f>
        <v/>
      </c>
      <c r="L11" s="219"/>
      <c r="M11" s="9"/>
      <c r="N11" s="79" t="str">
        <f>IF(M11="","",M11*1.5885*2/25*1000)</f>
        <v/>
      </c>
      <c r="O11" s="18" t="str">
        <f t="shared" si="1"/>
        <v/>
      </c>
      <c r="P11" s="250"/>
      <c r="Q11" s="258"/>
      <c r="R11" s="158" t="s">
        <v>104</v>
      </c>
      <c r="S11" s="157">
        <v>300</v>
      </c>
    </row>
    <row r="12" spans="1:22" ht="60" customHeight="1">
      <c r="A12" s="242"/>
      <c r="B12" s="92" t="s">
        <v>201</v>
      </c>
      <c r="C12" s="26" t="s">
        <v>91</v>
      </c>
      <c r="D12" s="20" t="s">
        <v>87</v>
      </c>
      <c r="E12" s="23">
        <v>5</v>
      </c>
      <c r="F12" s="24" t="s">
        <v>17</v>
      </c>
      <c r="G12" s="32">
        <v>999</v>
      </c>
      <c r="H12" s="175" t="s">
        <v>28</v>
      </c>
      <c r="I12" s="7"/>
      <c r="J12" s="18" t="str">
        <f t="shared" si="0"/>
        <v/>
      </c>
      <c r="K12" s="22" t="str">
        <f>IF(I12="","",IF(I12&lt;R12,"更槽",""))</f>
        <v/>
      </c>
      <c r="L12" s="219"/>
      <c r="M12" s="119" t="s">
        <v>28</v>
      </c>
      <c r="N12" s="7"/>
      <c r="O12" s="18" t="str">
        <f t="shared" si="1"/>
        <v/>
      </c>
      <c r="P12" s="81" t="s">
        <v>116</v>
      </c>
      <c r="Q12" s="158">
        <v>70</v>
      </c>
      <c r="R12" s="157">
        <v>5</v>
      </c>
      <c r="S12" s="158" t="s">
        <v>73</v>
      </c>
    </row>
    <row r="13" spans="1:22" ht="60" customHeight="1">
      <c r="A13" s="328" t="s">
        <v>170</v>
      </c>
      <c r="B13" s="249" t="s">
        <v>206</v>
      </c>
      <c r="C13" s="158" t="s">
        <v>240</v>
      </c>
      <c r="D13" s="80" t="s">
        <v>92</v>
      </c>
      <c r="E13" s="23">
        <v>0.8</v>
      </c>
      <c r="F13" s="24" t="s">
        <v>17</v>
      </c>
      <c r="G13" s="25">
        <v>1.2</v>
      </c>
      <c r="H13" s="176"/>
      <c r="I13" s="107" t="str">
        <f>IF(H13="","",0.0212*4*H13*F!$B$5)</f>
        <v/>
      </c>
      <c r="J13" s="18" t="str">
        <f t="shared" si="0"/>
        <v/>
      </c>
      <c r="K13" s="22" t="str">
        <f>IF(I13="","",IF(I13&lt;R13,"添加",IF(I13&gt;S13,"稀釋","")))</f>
        <v/>
      </c>
      <c r="L13" s="219" t="str">
        <f>IFERROR(IF(I13&gt;S13, "排液："&amp;ROUND(340*(1-1/I13), 0)&amp;" L"&amp;"
補水："&amp;ROUND(340*(1-1/I13), 0)&amp;" L", IF(I13&lt;R13, "碳酸鈉(15%)："&amp;ROUND(((1-I13)*340/100)/0.15, 1)&amp;" L", "")), "")</f>
        <v/>
      </c>
      <c r="M13" s="10"/>
      <c r="N13" s="79" t="str">
        <f>IF(M13="","",0.0212*4*M13*F!$B$5)</f>
        <v/>
      </c>
      <c r="O13" s="18" t="str">
        <f t="shared" si="1"/>
        <v/>
      </c>
      <c r="P13" s="249" t="s">
        <v>138</v>
      </c>
      <c r="Q13" s="258">
        <v>340</v>
      </c>
      <c r="R13" s="158">
        <v>0.9</v>
      </c>
      <c r="S13" s="157">
        <v>1.1499999999999999</v>
      </c>
    </row>
    <row r="14" spans="1:22" ht="60" customHeight="1">
      <c r="A14" s="329"/>
      <c r="B14" s="250"/>
      <c r="C14" s="108" t="s">
        <v>26</v>
      </c>
      <c r="D14" s="20" t="s">
        <v>93</v>
      </c>
      <c r="E14" s="82">
        <v>10.7</v>
      </c>
      <c r="F14" s="24" t="s">
        <v>17</v>
      </c>
      <c r="G14" s="109">
        <v>999</v>
      </c>
      <c r="H14" s="174" t="s">
        <v>28</v>
      </c>
      <c r="I14" s="8"/>
      <c r="J14" s="18" t="str">
        <f t="shared" si="0"/>
        <v/>
      </c>
      <c r="K14" s="22" t="str">
        <f>IF(I14="","",IF(I14&lt;R14,"更槽",""))</f>
        <v/>
      </c>
      <c r="L14" s="219"/>
      <c r="M14" s="5" t="s">
        <v>28</v>
      </c>
      <c r="N14" s="7"/>
      <c r="O14" s="18" t="str">
        <f t="shared" si="1"/>
        <v/>
      </c>
      <c r="P14" s="250"/>
      <c r="Q14" s="258"/>
      <c r="R14" s="157">
        <v>10.7</v>
      </c>
      <c r="S14" s="157" t="s">
        <v>104</v>
      </c>
    </row>
    <row r="15" spans="1:22" ht="60" customHeight="1">
      <c r="A15" s="329"/>
      <c r="B15" s="249" t="s">
        <v>207</v>
      </c>
      <c r="C15" s="158" t="s">
        <v>240</v>
      </c>
      <c r="D15" s="26" t="s">
        <v>92</v>
      </c>
      <c r="E15" s="30">
        <v>0.8</v>
      </c>
      <c r="F15" s="24" t="s">
        <v>17</v>
      </c>
      <c r="G15" s="31">
        <v>1.2</v>
      </c>
      <c r="H15" s="177"/>
      <c r="I15" s="111" t="str">
        <f>IF(H15="","",0.0212*4*H15*F!$B$5)</f>
        <v/>
      </c>
      <c r="J15" s="18" t="str">
        <f t="shared" si="0"/>
        <v/>
      </c>
      <c r="K15" s="22" t="str">
        <f>IF(I15="","",IF(I15&lt;R15,"添加",IF(I15&gt;S15,"稀釋","")))</f>
        <v/>
      </c>
      <c r="L15" s="219" t="str">
        <f>IFERROR(IF(I15&gt;S15, "排液："&amp;ROUND(100*(1-1/I15), 0)&amp;" L"&amp;"
補水："&amp;ROUND(100*(1-1/I15), 0)&amp;" L", IF(I15&lt;R15, "碳酸鈉(15%)："&amp;ROUND(((1-I15)*100/100)/0.15, 1)&amp;" L", "")), "")</f>
        <v/>
      </c>
      <c r="M15" s="11"/>
      <c r="N15" s="79" t="str">
        <f>IF(M15="","",0.0212*4*M15*F!$B$5)</f>
        <v/>
      </c>
      <c r="O15" s="18" t="str">
        <f t="shared" si="1"/>
        <v/>
      </c>
      <c r="P15" s="249" t="s">
        <v>138</v>
      </c>
      <c r="Q15" s="258">
        <v>100</v>
      </c>
      <c r="R15" s="158">
        <v>0.9</v>
      </c>
      <c r="S15" s="157">
        <v>1.1499999999999999</v>
      </c>
    </row>
    <row r="16" spans="1:22" ht="60" customHeight="1">
      <c r="A16" s="330"/>
      <c r="B16" s="257"/>
      <c r="C16" s="112" t="s">
        <v>26</v>
      </c>
      <c r="D16" s="81" t="s">
        <v>180</v>
      </c>
      <c r="E16" s="23">
        <v>11</v>
      </c>
      <c r="F16" s="24" t="s">
        <v>17</v>
      </c>
      <c r="G16" s="32">
        <v>999</v>
      </c>
      <c r="H16" s="174" t="s">
        <v>28</v>
      </c>
      <c r="I16" s="7"/>
      <c r="J16" s="18" t="str">
        <f t="shared" si="0"/>
        <v/>
      </c>
      <c r="K16" s="22" t="str">
        <f>IF(I16="","",IF(I16&lt;R16,"更槽",""))</f>
        <v/>
      </c>
      <c r="L16" s="219" t="str">
        <f>IF(I16="","",IF(I16&lt;R16,"通知工程師",""))</f>
        <v/>
      </c>
      <c r="M16" s="5" t="s">
        <v>28</v>
      </c>
      <c r="N16" s="7"/>
      <c r="O16" s="18" t="str">
        <f t="shared" si="1"/>
        <v/>
      </c>
      <c r="P16" s="250"/>
      <c r="Q16" s="258"/>
      <c r="R16" s="157">
        <v>11</v>
      </c>
      <c r="S16" s="157" t="s">
        <v>104</v>
      </c>
    </row>
    <row r="17" spans="1:22" ht="60" customHeight="1">
      <c r="A17" s="241" t="s">
        <v>171</v>
      </c>
      <c r="B17" s="203" t="s">
        <v>208</v>
      </c>
      <c r="C17" s="158" t="s">
        <v>238</v>
      </c>
      <c r="D17" s="26" t="s">
        <v>94</v>
      </c>
      <c r="E17" s="30">
        <v>10</v>
      </c>
      <c r="F17" s="130" t="s">
        <v>17</v>
      </c>
      <c r="G17" s="31">
        <v>14</v>
      </c>
      <c r="H17" s="177"/>
      <c r="I17" s="111" t="str">
        <f>IF(H17="","",H17/5*6.98*F!$B$5)</f>
        <v/>
      </c>
      <c r="J17" s="18" t="str">
        <f t="shared" si="0"/>
        <v/>
      </c>
      <c r="K17" s="22" t="str">
        <f t="shared" ref="K17:K25" si="2">IF(I17="","",IF(I17&lt;R17,"添加",IF(I17&gt;S17,"稀釋","")))</f>
        <v/>
      </c>
      <c r="L17" s="219" t="str">
        <f>IFERROR(IF(I17&gt;S17, "排液："&amp;ROUND(540*(1-12/I17), 0)&amp;" L"&amp;"
補水："&amp;ROUND(540*(1-12/I17), 0)&amp;" L", IF(I17&lt;R17, "CXW-PS316(A/B)："&amp;ROUND(((12-I17)*540/100/2), 1)&amp;" L", "")), "")</f>
        <v/>
      </c>
      <c r="M17" s="11"/>
      <c r="N17" s="79" t="str">
        <f>IF(M17="","",M17/5*6.98*F!$B$5)</f>
        <v/>
      </c>
      <c r="O17" s="18" t="str">
        <f t="shared" si="1"/>
        <v/>
      </c>
      <c r="P17" s="129" t="s">
        <v>135</v>
      </c>
      <c r="Q17" s="171">
        <v>540</v>
      </c>
      <c r="R17" s="171">
        <v>11</v>
      </c>
      <c r="S17" s="157">
        <v>13.9</v>
      </c>
    </row>
    <row r="18" spans="1:22" ht="60" customHeight="1">
      <c r="A18" s="242"/>
      <c r="B18" s="204" t="s">
        <v>209</v>
      </c>
      <c r="C18" s="158" t="s">
        <v>238</v>
      </c>
      <c r="D18" s="18" t="s">
        <v>94</v>
      </c>
      <c r="E18" s="30">
        <v>10</v>
      </c>
      <c r="F18" s="130" t="s">
        <v>17</v>
      </c>
      <c r="G18" s="31">
        <v>14</v>
      </c>
      <c r="H18" s="167"/>
      <c r="I18" s="79" t="str">
        <f>IF(H18="","",H18/5*6.98*F!$B$5)</f>
        <v/>
      </c>
      <c r="J18" s="18" t="str">
        <f t="shared" si="0"/>
        <v/>
      </c>
      <c r="K18" s="22" t="str">
        <f t="shared" si="2"/>
        <v/>
      </c>
      <c r="L18" s="219" t="str">
        <f>IFERROR(IF(I18&gt;S18, "排液："&amp;ROUND(160*(1-12/I18), 0)&amp;" L"&amp;"
補水："&amp;ROUND(160*(1-12/I18), 0)&amp;" L", IF(I18&lt;R18, "CXW-PS316(A/B)："&amp;ROUND(((12-I18)*160/100/2), 1)&amp;" L", "")), "")</f>
        <v/>
      </c>
      <c r="M18" s="9"/>
      <c r="N18" s="79" t="str">
        <f>IF(M18="","",M18/5*6.98*F!$B$5)</f>
        <v/>
      </c>
      <c r="O18" s="18" t="str">
        <f t="shared" si="1"/>
        <v/>
      </c>
      <c r="P18" s="129" t="s">
        <v>135</v>
      </c>
      <c r="Q18" s="171">
        <v>160</v>
      </c>
      <c r="R18" s="171">
        <v>11</v>
      </c>
      <c r="S18" s="157">
        <v>13.9</v>
      </c>
    </row>
    <row r="19" spans="1:22" ht="60" customHeight="1">
      <c r="A19" s="242"/>
      <c r="B19" s="202" t="s">
        <v>200</v>
      </c>
      <c r="C19" s="166" t="s">
        <v>224</v>
      </c>
      <c r="D19" s="22" t="s">
        <v>76</v>
      </c>
      <c r="E19" s="89">
        <v>4</v>
      </c>
      <c r="F19" s="210" t="s">
        <v>17</v>
      </c>
      <c r="G19" s="78">
        <v>6</v>
      </c>
      <c r="H19" s="167"/>
      <c r="I19" s="114" t="str">
        <f>IF(H19="","",0.04904*H19*F!$B$3*100)</f>
        <v/>
      </c>
      <c r="J19" s="18" t="str">
        <f t="shared" si="0"/>
        <v/>
      </c>
      <c r="K19" s="22" t="str">
        <f t="shared" si="2"/>
        <v/>
      </c>
      <c r="L19" s="136" t="str">
        <f>IFERROR(IF(I19&gt;S19, "排液："&amp;ROUND(60*(1-5/I19)*0.5,1)&amp;" L"&amp;"
補水："&amp;ROUND(60*(1-5/I19)*0.5,1)&amp;" L", IF(I19&lt;R19, "硫酸(50%)："&amp;ROUND(((5-I19)*60/100)/0.5, 1)&amp;" L", "")), "")</f>
        <v/>
      </c>
      <c r="M19" s="9"/>
      <c r="N19" s="79" t="str">
        <f>IF(M19="","",0.04904*M19*F!$B$3*100)</f>
        <v/>
      </c>
      <c r="O19" s="18" t="str">
        <f t="shared" si="1"/>
        <v/>
      </c>
      <c r="P19" s="81" t="s">
        <v>136</v>
      </c>
      <c r="Q19" s="171">
        <v>60</v>
      </c>
      <c r="R19" s="171">
        <v>4.5</v>
      </c>
      <c r="S19" s="157">
        <v>5.95</v>
      </c>
      <c r="T19" s="14"/>
      <c r="U19" s="160"/>
      <c r="V19" s="160"/>
    </row>
    <row r="20" spans="1:22" ht="60" customHeight="1">
      <c r="A20" s="242"/>
      <c r="B20" s="203" t="s">
        <v>207</v>
      </c>
      <c r="C20" s="158" t="s">
        <v>238</v>
      </c>
      <c r="D20" s="209" t="s">
        <v>94</v>
      </c>
      <c r="E20" s="211">
        <v>10</v>
      </c>
      <c r="F20" s="212" t="s">
        <v>17</v>
      </c>
      <c r="G20" s="213">
        <v>14</v>
      </c>
      <c r="H20" s="177"/>
      <c r="I20" s="111" t="str">
        <f>IF(H20="","",H20/5*6.98*F!$B$5)</f>
        <v/>
      </c>
      <c r="J20" s="18" t="str">
        <f t="shared" si="0"/>
        <v/>
      </c>
      <c r="K20" s="22" t="str">
        <f t="shared" si="2"/>
        <v/>
      </c>
      <c r="L20" s="219" t="str">
        <f>IFERROR(IF(I20&gt;S20, "排液："&amp;ROUND(100*(1-12/I20), 0)&amp;" L"&amp;"
補水："&amp;ROUND(100*(1-12/I20), 0)&amp;" L", IF(I20&lt;R20, "CXW-PS316(A/B)："&amp;ROUND(((12-I20)*100/100/2), 1)&amp;" L", "")), "")</f>
        <v/>
      </c>
      <c r="M20" s="11"/>
      <c r="N20" s="79" t="str">
        <f>IF(M20="","",M20/5*6.98*F!$B$5)</f>
        <v/>
      </c>
      <c r="O20" s="18" t="str">
        <f t="shared" si="1"/>
        <v/>
      </c>
      <c r="P20" s="129" t="s">
        <v>135</v>
      </c>
      <c r="Q20" s="171">
        <v>100</v>
      </c>
      <c r="R20" s="171">
        <v>11</v>
      </c>
      <c r="S20" s="157">
        <v>13.9</v>
      </c>
    </row>
    <row r="21" spans="1:22" ht="60" customHeight="1">
      <c r="A21" s="242"/>
      <c r="B21" s="203" t="s">
        <v>210</v>
      </c>
      <c r="C21" s="158" t="s">
        <v>238</v>
      </c>
      <c r="D21" s="209" t="s">
        <v>94</v>
      </c>
      <c r="E21" s="211">
        <v>10</v>
      </c>
      <c r="F21" s="212" t="s">
        <v>17</v>
      </c>
      <c r="G21" s="213">
        <v>14</v>
      </c>
      <c r="H21" s="177"/>
      <c r="I21" s="111" t="str">
        <f>IF(H21="","",H21/5*6.98*F!$B$6)</f>
        <v/>
      </c>
      <c r="J21" s="18" t="str">
        <f t="shared" si="0"/>
        <v/>
      </c>
      <c r="K21" s="22" t="str">
        <f t="shared" si="2"/>
        <v/>
      </c>
      <c r="L21" s="219" t="str">
        <f>IFERROR(IF(I21&gt;S21, "排液："&amp;ROUND(100*(1-12/I21), 0)&amp;" L"&amp;"
補水："&amp;ROUND(100*(1-12/I21), 0)&amp;" L", IF(I21&lt;R21, "CXW-PS316(A/B)："&amp;ROUND(((12-I21)*100/100/2), 1)&amp;" L", "")), "")</f>
        <v/>
      </c>
      <c r="M21" s="11"/>
      <c r="N21" s="79" t="str">
        <f>IF(M21="","",M21/5*6.98*F!$B$6)</f>
        <v/>
      </c>
      <c r="O21" s="18" t="str">
        <f t="shared" si="1"/>
        <v/>
      </c>
      <c r="P21" s="129" t="s">
        <v>135</v>
      </c>
      <c r="Q21" s="171">
        <v>100</v>
      </c>
      <c r="R21" s="171">
        <v>11</v>
      </c>
      <c r="S21" s="157">
        <v>13.9</v>
      </c>
    </row>
    <row r="22" spans="1:22" ht="60" customHeight="1">
      <c r="A22" s="241" t="s">
        <v>172</v>
      </c>
      <c r="B22" s="251" t="s">
        <v>216</v>
      </c>
      <c r="C22" s="166" t="s">
        <v>224</v>
      </c>
      <c r="D22" s="22" t="s">
        <v>219</v>
      </c>
      <c r="E22" s="89">
        <v>5</v>
      </c>
      <c r="F22" s="90" t="s">
        <v>17</v>
      </c>
      <c r="G22" s="78">
        <v>9</v>
      </c>
      <c r="H22" s="177"/>
      <c r="I22" s="115" t="str">
        <f>IF(H22="","",H22*49/5*F!$B$3/750*100)</f>
        <v/>
      </c>
      <c r="J22" s="18" t="str">
        <f t="shared" si="0"/>
        <v/>
      </c>
      <c r="K22" s="22" t="str">
        <f t="shared" si="2"/>
        <v/>
      </c>
      <c r="L22" s="220" t="str">
        <f>IFERROR(IF(I22&gt;S22, "排液："&amp;ROUND(650*(1-7/I22)*0.5,1)&amp;" L"&amp;"
補水："&amp;ROUND(650*(1-7/I22)*0.5,1)&amp;" L", IF(I22&lt;R22, "硫酸(50%)："&amp;ROUND(((7-I22)*650/100)/0.5/1.4, 2)&amp;" L", "")), "")</f>
        <v/>
      </c>
      <c r="M22" s="11"/>
      <c r="N22" s="116" t="str">
        <f>IF(M22="","",M22*49/5*F!$B$3/750*100)</f>
        <v/>
      </c>
      <c r="O22" s="18" t="str">
        <f t="shared" si="1"/>
        <v/>
      </c>
      <c r="P22" s="81" t="s">
        <v>136</v>
      </c>
      <c r="Q22" s="327">
        <v>650</v>
      </c>
      <c r="R22" s="206">
        <v>6.5</v>
      </c>
      <c r="S22" s="201">
        <v>8.8000000000000007</v>
      </c>
    </row>
    <row r="23" spans="1:22" ht="60" customHeight="1">
      <c r="A23" s="242"/>
      <c r="B23" s="252"/>
      <c r="C23" s="158" t="s">
        <v>232</v>
      </c>
      <c r="D23" s="214" t="s">
        <v>95</v>
      </c>
      <c r="E23" s="89">
        <v>10</v>
      </c>
      <c r="F23" s="90" t="s">
        <v>17</v>
      </c>
      <c r="G23" s="78">
        <v>35</v>
      </c>
      <c r="H23" s="167"/>
      <c r="I23" s="116" t="str">
        <f>IF(H23="","",3.177*H23*F!$B$6)</f>
        <v/>
      </c>
      <c r="J23" s="18" t="str">
        <f t="shared" si="0"/>
        <v/>
      </c>
      <c r="K23" s="22" t="str">
        <f t="shared" si="2"/>
        <v/>
      </c>
      <c r="L23" s="221" t="str">
        <f>IFERROR(IF(I23&gt;S23, "排液："&amp;ROUND(650*(1-25/I23)*0.5,1)&amp;" L"&amp;"
補水："&amp;ROUND(650*(1-25/I23)*0.5,1)&amp;" L", IF(I23&lt;R23, "CuSO4．5H2O："&amp;ROUND(((25-I23)*650/100)/0.25, 2)&amp;" L", "")), "")</f>
        <v/>
      </c>
      <c r="M23" s="9"/>
      <c r="N23" s="116" t="str">
        <f>IF(M23="","",3.177*M23*F!$B$6)</f>
        <v/>
      </c>
      <c r="O23" s="18" t="str">
        <f t="shared" si="1"/>
        <v/>
      </c>
      <c r="P23" s="81" t="s">
        <v>125</v>
      </c>
      <c r="Q23" s="327"/>
      <c r="R23" s="173">
        <v>11</v>
      </c>
      <c r="S23" s="157">
        <v>34</v>
      </c>
    </row>
    <row r="24" spans="1:22" ht="60" customHeight="1">
      <c r="A24" s="242"/>
      <c r="B24" s="253"/>
      <c r="C24" s="158" t="s">
        <v>241</v>
      </c>
      <c r="D24" s="22" t="s">
        <v>96</v>
      </c>
      <c r="E24" s="89">
        <v>4.5</v>
      </c>
      <c r="F24" s="90" t="s">
        <v>17</v>
      </c>
      <c r="G24" s="78">
        <v>7.5</v>
      </c>
      <c r="H24" s="167"/>
      <c r="I24" s="116" t="str">
        <f>IF(H24="","",H24*4.857/0.5*F!$B$7/1140*100)</f>
        <v/>
      </c>
      <c r="J24" s="18" t="str">
        <f t="shared" si="0"/>
        <v/>
      </c>
      <c r="K24" s="22" t="str">
        <f t="shared" si="2"/>
        <v/>
      </c>
      <c r="L24" s="221" t="str">
        <f>IFERROR(IF(I24&gt;S24, "排液："&amp;ROUND(650*(1-6/I24)*0.5,1)&amp;" L"&amp;"
補水："&amp;ROUND(650*(1-6/I24)*0.5,1)&amp;" L", IF(I24&lt;R24, "H2O2："&amp;ROUND(((6-I24)*650/100), 2)&amp;" L", "")), "")</f>
        <v/>
      </c>
      <c r="M24" s="9"/>
      <c r="N24" s="116" t="str">
        <f>IF(M24="","",M24*4.857/0.5*F!$B$7/1140*100)</f>
        <v/>
      </c>
      <c r="O24" s="18" t="str">
        <f t="shared" si="1"/>
        <v/>
      </c>
      <c r="P24" s="81" t="s">
        <v>127</v>
      </c>
      <c r="Q24" s="327"/>
      <c r="R24" s="172">
        <v>5.5</v>
      </c>
      <c r="S24" s="157">
        <v>7.4</v>
      </c>
    </row>
    <row r="25" spans="1:22" ht="60" customHeight="1">
      <c r="A25" s="242"/>
      <c r="B25" s="93" t="s">
        <v>200</v>
      </c>
      <c r="C25" s="166" t="s">
        <v>224</v>
      </c>
      <c r="D25" s="207" t="s">
        <v>76</v>
      </c>
      <c r="E25" s="215">
        <v>4</v>
      </c>
      <c r="F25" s="90" t="s">
        <v>17</v>
      </c>
      <c r="G25" s="208">
        <v>6</v>
      </c>
      <c r="H25" s="178"/>
      <c r="I25" s="110" t="str">
        <f>IF(H25="","",0.04904*H25*F!$B$3*100)</f>
        <v/>
      </c>
      <c r="J25" s="18" t="str">
        <f t="shared" si="0"/>
        <v/>
      </c>
      <c r="K25" s="22" t="str">
        <f t="shared" si="2"/>
        <v/>
      </c>
      <c r="L25" s="218" t="str">
        <f>IFERROR(IF(I25&gt;S25, "排液："&amp;ROUND(55*(1-5/I25)*0.5,1)&amp;" L"&amp;"
補水："&amp;ROUND(55*(1-5/I25)*0.5,1)&amp;" L", IF(I25&lt;R25, "硫酸(50%)："&amp;ROUND(((5-I25)*55/100)/0.5/1.4, 1)&amp;" L", "")), "")</f>
        <v/>
      </c>
      <c r="M25" s="13"/>
      <c r="N25" s="79" t="str">
        <f>IF(M25="","",0.04904*M25*F!$B$3*100)</f>
        <v/>
      </c>
      <c r="O25" s="18" t="str">
        <f t="shared" si="1"/>
        <v/>
      </c>
      <c r="P25" s="81" t="s">
        <v>136</v>
      </c>
      <c r="Q25" s="171">
        <v>55</v>
      </c>
      <c r="R25" s="171">
        <v>4.5</v>
      </c>
      <c r="S25" s="157">
        <v>5.9</v>
      </c>
    </row>
    <row r="26" spans="1:22" ht="60" customHeight="1">
      <c r="A26" s="256"/>
      <c r="B26" s="20" t="s">
        <v>201</v>
      </c>
      <c r="C26" s="18" t="s">
        <v>26</v>
      </c>
      <c r="D26" s="20" t="s">
        <v>87</v>
      </c>
      <c r="E26" s="23">
        <v>5</v>
      </c>
      <c r="F26" s="24" t="s">
        <v>17</v>
      </c>
      <c r="G26" s="32">
        <v>999</v>
      </c>
      <c r="H26" s="174" t="s">
        <v>28</v>
      </c>
      <c r="I26" s="7"/>
      <c r="J26" s="18" t="str">
        <f t="shared" si="0"/>
        <v/>
      </c>
      <c r="K26" s="22" t="str">
        <f>IF(I26="","",IF(I26&lt;R26,"更槽",""))</f>
        <v/>
      </c>
      <c r="L26" s="222"/>
      <c r="M26" s="5" t="s">
        <v>28</v>
      </c>
      <c r="N26" s="7"/>
      <c r="O26" s="18" t="str">
        <f t="shared" si="1"/>
        <v/>
      </c>
      <c r="P26" s="81" t="s">
        <v>124</v>
      </c>
      <c r="Q26" s="171">
        <v>70</v>
      </c>
      <c r="R26" s="171">
        <v>5</v>
      </c>
      <c r="S26" s="157" t="s">
        <v>104</v>
      </c>
    </row>
    <row r="27" spans="1:22" ht="18" customHeight="1">
      <c r="A27" s="33" t="s">
        <v>19</v>
      </c>
      <c r="B27" s="34"/>
      <c r="C27" s="34"/>
      <c r="D27" s="34"/>
      <c r="E27" s="34"/>
      <c r="F27" s="34"/>
      <c r="G27" s="34"/>
      <c r="H27" s="34"/>
      <c r="I27" s="34"/>
      <c r="J27" s="35"/>
      <c r="R27"/>
      <c r="S27" s="17"/>
    </row>
    <row r="28" spans="1:22" ht="18" customHeight="1">
      <c r="A28" s="19"/>
      <c r="B28" s="15"/>
      <c r="D28" s="15"/>
      <c r="E28" s="15"/>
      <c r="F28" s="15"/>
      <c r="G28" s="15"/>
      <c r="H28" s="15"/>
      <c r="I28" s="15"/>
      <c r="J28" s="36"/>
    </row>
    <row r="29" spans="1:22" ht="18" customHeight="1">
      <c r="A29" s="272"/>
      <c r="B29" s="273"/>
      <c r="C29" s="273"/>
      <c r="D29" s="273"/>
      <c r="E29" s="273"/>
      <c r="F29" s="273"/>
      <c r="G29" s="273"/>
      <c r="H29" s="273"/>
      <c r="I29" s="273"/>
      <c r="J29" s="300"/>
    </row>
    <row r="30" spans="1:22" ht="18" customHeight="1">
      <c r="A30" s="301"/>
      <c r="B30" s="302"/>
      <c r="C30" s="302"/>
      <c r="D30" s="302"/>
      <c r="E30" s="302"/>
      <c r="F30" s="302"/>
      <c r="G30" s="302"/>
      <c r="H30" s="302"/>
      <c r="I30" s="302"/>
      <c r="J30" s="303"/>
    </row>
    <row r="31" spans="1:22" ht="18" customHeight="1">
      <c r="A31" s="37" t="s">
        <v>21</v>
      </c>
      <c r="C31" s="38" t="s">
        <v>22</v>
      </c>
      <c r="H31" s="38" t="s">
        <v>23</v>
      </c>
    </row>
    <row r="32" spans="1:22" ht="18" customHeight="1"/>
    <row r="33" ht="18" customHeight="1"/>
  </sheetData>
  <sheetProtection algorithmName="SHA-512" hashValue="UWFhLK+QSvg4Z9yryQCzYyC5eGAhGI7XEimFbMYzPyfDXjCbfmMNyo75/YxjC3H/++e/TJp1ssr2wGeKCTvwJA==" saltValue="XdOmg2I0rLBfLrWAcsmX1g==" spinCount="100000" sheet="1" objects="1" scenarios="1"/>
  <mergeCells count="26">
    <mergeCell ref="A29:J30"/>
    <mergeCell ref="Q22:Q24"/>
    <mergeCell ref="B5:J5"/>
    <mergeCell ref="B4:J4"/>
    <mergeCell ref="P8:P9"/>
    <mergeCell ref="P10:P11"/>
    <mergeCell ref="P13:P14"/>
    <mergeCell ref="P15:P16"/>
    <mergeCell ref="Q8:Q9"/>
    <mergeCell ref="Q10:Q11"/>
    <mergeCell ref="Q13:Q14"/>
    <mergeCell ref="Q15:Q16"/>
    <mergeCell ref="A13:A16"/>
    <mergeCell ref="A17:A21"/>
    <mergeCell ref="A22:A26"/>
    <mergeCell ref="B8:B9"/>
    <mergeCell ref="A1:I1"/>
    <mergeCell ref="A2:J2"/>
    <mergeCell ref="B3:J3"/>
    <mergeCell ref="E6:G6"/>
    <mergeCell ref="A7:A12"/>
    <mergeCell ref="T5:V5"/>
    <mergeCell ref="B10:B11"/>
    <mergeCell ref="B13:B14"/>
    <mergeCell ref="B15:B16"/>
    <mergeCell ref="B22:B24"/>
  </mergeCells>
  <phoneticPr fontId="17" type="noConversion"/>
  <conditionalFormatting sqref="J7:J26">
    <cfRule type="containsText" dxfId="2" priority="11" operator="containsText" text="NG">
      <formula>NOT(ISERROR(SEARCH("NG",J7)))</formula>
    </cfRule>
  </conditionalFormatting>
  <conditionalFormatting sqref="O7:O26">
    <cfRule type="containsText" dxfId="1" priority="1" operator="containsText" text="NG">
      <formula>NOT(ISERROR(SEARCH("NG",O7)))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V39"/>
  <sheetViews>
    <sheetView showGridLines="0" zoomScale="40" zoomScaleNormal="40" workbookViewId="0">
      <pane xSplit="1" ySplit="6" topLeftCell="B22" activePane="bottomRight" state="frozen"/>
      <selection activeCell="K36" sqref="K36"/>
      <selection pane="topRight" activeCell="K36" sqref="K36"/>
      <selection pane="bottomLeft" activeCell="K36" sqref="K36"/>
      <selection pane="bottomRight" activeCell="V42" sqref="V42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7" customWidth="1"/>
    <col min="12" max="12" width="50.625" style="17" customWidth="1"/>
    <col min="13" max="15" width="21.625" style="17" customWidth="1"/>
    <col min="16" max="16" width="30.625" style="17" hidden="1" customWidth="1"/>
    <col min="17" max="18" width="21.625" style="17" hidden="1" customWidth="1"/>
    <col min="19" max="19" width="21.625" style="14" hidden="1" customWidth="1"/>
    <col min="20" max="20" width="30.625" style="14" customWidth="1"/>
    <col min="21" max="22" width="30.625" style="160" customWidth="1"/>
    <col min="23" max="27" width="9" style="17"/>
    <col min="28" max="28" width="10.5" style="17"/>
    <col min="29" max="29" width="17.5" style="17"/>
    <col min="30" max="16384" width="9" style="17"/>
  </cols>
  <sheetData>
    <row r="1" spans="1:22" ht="27.75" customHeight="1">
      <c r="A1" s="233"/>
      <c r="B1" s="233"/>
      <c r="C1" s="233"/>
      <c r="D1" s="233"/>
      <c r="E1" s="233"/>
      <c r="F1" s="233"/>
      <c r="G1" s="233"/>
      <c r="H1" s="233"/>
      <c r="I1" s="233"/>
    </row>
    <row r="2" spans="1:22" ht="50.25">
      <c r="A2" s="234" t="s">
        <v>0</v>
      </c>
      <c r="B2" s="234"/>
      <c r="C2" s="234"/>
      <c r="D2" s="234"/>
      <c r="E2" s="234"/>
      <c r="F2" s="234"/>
      <c r="G2" s="234"/>
      <c r="H2" s="234"/>
      <c r="I2" s="234"/>
      <c r="J2" s="234"/>
    </row>
    <row r="3" spans="1:22" ht="35.1" customHeight="1">
      <c r="A3" s="18" t="s">
        <v>1</v>
      </c>
      <c r="B3" s="235" t="s">
        <v>154</v>
      </c>
      <c r="C3" s="236"/>
      <c r="D3" s="236"/>
      <c r="E3" s="236"/>
      <c r="F3" s="236"/>
      <c r="G3" s="236"/>
      <c r="H3" s="236"/>
      <c r="I3" s="236"/>
      <c r="J3" s="237"/>
    </row>
    <row r="4" spans="1:22" ht="35.1" customHeight="1">
      <c r="A4" s="18" t="s">
        <v>2</v>
      </c>
      <c r="B4" s="263"/>
      <c r="C4" s="264"/>
      <c r="D4" s="264"/>
      <c r="E4" s="264"/>
      <c r="F4" s="264"/>
      <c r="G4" s="264"/>
      <c r="H4" s="264"/>
      <c r="I4" s="264"/>
      <c r="J4" s="265"/>
    </row>
    <row r="5" spans="1:22" ht="35.1" customHeight="1">
      <c r="A5" s="18" t="s">
        <v>3</v>
      </c>
      <c r="B5" s="266"/>
      <c r="C5" s="267"/>
      <c r="D5" s="267"/>
      <c r="E5" s="267"/>
      <c r="F5" s="267"/>
      <c r="G5" s="267"/>
      <c r="H5" s="267"/>
      <c r="I5" s="267"/>
      <c r="J5" s="268"/>
      <c r="M5" s="138" t="s">
        <v>140</v>
      </c>
      <c r="N5" s="138"/>
      <c r="O5" s="138"/>
      <c r="T5" s="261" t="s">
        <v>158</v>
      </c>
      <c r="U5" s="261"/>
      <c r="V5" s="261"/>
    </row>
    <row r="6" spans="1:22" ht="35.1" customHeight="1">
      <c r="A6" s="46" t="s">
        <v>1</v>
      </c>
      <c r="B6" s="46" t="s">
        <v>4</v>
      </c>
      <c r="C6" s="47" t="s">
        <v>5</v>
      </c>
      <c r="D6" s="47" t="s">
        <v>6</v>
      </c>
      <c r="E6" s="238" t="s">
        <v>7</v>
      </c>
      <c r="F6" s="239"/>
      <c r="G6" s="240"/>
      <c r="H6" s="47" t="s">
        <v>8</v>
      </c>
      <c r="I6" s="48" t="s">
        <v>9</v>
      </c>
      <c r="J6" s="47" t="s">
        <v>10</v>
      </c>
      <c r="K6" s="1" t="s">
        <v>11</v>
      </c>
      <c r="L6" s="2" t="s">
        <v>13</v>
      </c>
      <c r="M6" s="47" t="s">
        <v>8</v>
      </c>
      <c r="N6" s="47" t="s">
        <v>9</v>
      </c>
      <c r="O6" s="47" t="s">
        <v>10</v>
      </c>
      <c r="P6" s="2" t="s">
        <v>12</v>
      </c>
      <c r="Q6" s="2" t="s">
        <v>14</v>
      </c>
      <c r="R6" s="133" t="s">
        <v>15</v>
      </c>
      <c r="S6" s="18" t="s">
        <v>58</v>
      </c>
      <c r="T6" s="161" t="s">
        <v>159</v>
      </c>
      <c r="U6" s="161" t="s">
        <v>160</v>
      </c>
      <c r="V6" s="161" t="s">
        <v>161</v>
      </c>
    </row>
    <row r="7" spans="1:22" ht="60" customHeight="1">
      <c r="A7" s="241" t="s">
        <v>165</v>
      </c>
      <c r="B7" s="20" t="s">
        <v>204</v>
      </c>
      <c r="C7" s="166" t="s">
        <v>224</v>
      </c>
      <c r="D7" s="18" t="s">
        <v>81</v>
      </c>
      <c r="E7" s="23">
        <v>2</v>
      </c>
      <c r="F7" s="24" t="s">
        <v>17</v>
      </c>
      <c r="G7" s="25">
        <v>4</v>
      </c>
      <c r="H7" s="137"/>
      <c r="I7" s="3" t="str">
        <f>IF(H7="","",0.04904*H7*F!$B$3*100)</f>
        <v/>
      </c>
      <c r="J7" s="18" t="str">
        <f>IF(I7="","",IF(OR(I7&lt;E7,I7&gt;G7),"NG","OK"))</f>
        <v/>
      </c>
      <c r="K7" s="22" t="str">
        <f>IF(I7="","",IF(I7&lt;R7,"添加",IF(I7&gt;S7,"稀釋","")))</f>
        <v/>
      </c>
      <c r="L7" s="218" t="str">
        <f>IFERROR(IF(I7&gt;S7, "排液："&amp;ROUND(120*(1-3/I7)*0.5,1)&amp;" L"&amp;"
補水："&amp;ROUND(120*(1-3/I7)*0.5,1)&amp;" L", IF(I7&lt;R7, "硫酸50%："&amp;ROUND(((3-I7)*120/100)/0.5/1.4, 2)&amp;" L", "")), "")</f>
        <v/>
      </c>
      <c r="M7" s="99"/>
      <c r="N7" s="79" t="str">
        <f>IF(M7="","",0.04904*M7*F!$B$3*100)</f>
        <v/>
      </c>
      <c r="O7" s="18" t="str">
        <f>IF(N7="","",IF(OR(N7&lt;E7,N7&gt;G7),"NG","OK"))</f>
        <v/>
      </c>
      <c r="P7" s="81" t="s">
        <v>115</v>
      </c>
      <c r="Q7" s="105">
        <v>120</v>
      </c>
      <c r="R7" s="134">
        <v>2.5</v>
      </c>
      <c r="S7" s="18">
        <v>3.9</v>
      </c>
    </row>
    <row r="8" spans="1:22" ht="60" customHeight="1">
      <c r="A8" s="242"/>
      <c r="B8" s="245" t="s">
        <v>205</v>
      </c>
      <c r="C8" s="158" t="s">
        <v>232</v>
      </c>
      <c r="D8" s="27" t="s">
        <v>88</v>
      </c>
      <c r="E8" s="106">
        <v>0</v>
      </c>
      <c r="F8" s="24" t="s">
        <v>17</v>
      </c>
      <c r="G8" s="29">
        <v>42</v>
      </c>
      <c r="H8" s="137"/>
      <c r="I8" s="3" t="str">
        <f>IF(H8="","",3.177*H8*F!$B$6)</f>
        <v/>
      </c>
      <c r="J8" s="18" t="str">
        <f t="shared" ref="J8:J33" si="0">IF(I8="","",IF(OR(I8&lt;E8,I8&gt;G8),"NG","OK"))</f>
        <v/>
      </c>
      <c r="K8" s="22" t="str">
        <f>IF(I8="","",IF(I8&lt;R8,"添加",IF(I8&gt;S8,"稀釋","")))</f>
        <v/>
      </c>
      <c r="L8" s="219" t="str">
        <f>IF(I8="","",IF(I8&gt;S8,"通知工程師",IF(I8&lt;R8, "CS-3302M："&amp;ROUND(((39-I8)*400/1000), 2)&amp;" L", "")))</f>
        <v/>
      </c>
      <c r="M8" s="99"/>
      <c r="N8" s="79" t="str">
        <f>IF(M8="","",3.177*M8*F!$B$6)</f>
        <v/>
      </c>
      <c r="O8" s="18" t="str">
        <f t="shared" ref="O8:O33" si="1">IF(N8="","",IF(OR(N8&lt;E8,N8&gt;G8),"NG","OK"))</f>
        <v/>
      </c>
      <c r="P8" s="270" t="s">
        <v>122</v>
      </c>
      <c r="Q8" s="269">
        <v>400</v>
      </c>
      <c r="R8" s="134">
        <v>12</v>
      </c>
      <c r="S8" s="18">
        <v>22</v>
      </c>
    </row>
    <row r="9" spans="1:22" ht="60" customHeight="1">
      <c r="A9" s="242"/>
      <c r="B9" s="246"/>
      <c r="C9" s="20" t="s">
        <v>243</v>
      </c>
      <c r="D9" s="18" t="s">
        <v>89</v>
      </c>
      <c r="E9" s="23">
        <v>1.05</v>
      </c>
      <c r="F9" s="24" t="s">
        <v>17</v>
      </c>
      <c r="G9" s="25">
        <v>1.1499999999999999</v>
      </c>
      <c r="H9" s="186" t="s">
        <v>28</v>
      </c>
      <c r="I9" s="6"/>
      <c r="J9" s="18" t="str">
        <f t="shared" si="0"/>
        <v/>
      </c>
      <c r="K9" s="22" t="str">
        <f>IF(I9="","",IF(I9&lt;R9,"添加",IF(I9&gt;S9,"稀釋","")))</f>
        <v/>
      </c>
      <c r="L9" s="219" t="str">
        <f>IF(I9="","",IF(I9&gt;S9,"通知工程師",IF(I9="","",IF(I9&lt;R9, "CS-3302M："&amp;ROUND(((1.07-I9)*400), 2)&amp;" L", ""))))</f>
        <v/>
      </c>
      <c r="M9" s="100" t="s">
        <v>28</v>
      </c>
      <c r="N9" s="7"/>
      <c r="O9" s="18" t="str">
        <f t="shared" si="1"/>
        <v/>
      </c>
      <c r="P9" s="270"/>
      <c r="Q9" s="269"/>
      <c r="R9" s="134">
        <v>1.07</v>
      </c>
      <c r="S9" s="18">
        <v>1.1299999999999999</v>
      </c>
    </row>
    <row r="10" spans="1:22" ht="60" customHeight="1">
      <c r="A10" s="242"/>
      <c r="B10" s="247" t="s">
        <v>203</v>
      </c>
      <c r="C10" s="158" t="s">
        <v>237</v>
      </c>
      <c r="D10" s="18" t="s">
        <v>81</v>
      </c>
      <c r="E10" s="23">
        <v>2</v>
      </c>
      <c r="F10" s="24" t="s">
        <v>17</v>
      </c>
      <c r="G10" s="25">
        <v>4</v>
      </c>
      <c r="H10" s="137"/>
      <c r="I10" s="3" t="str">
        <f>IF(H10="","",3.646*H10*F!$B$3)</f>
        <v/>
      </c>
      <c r="J10" s="18" t="str">
        <f t="shared" si="0"/>
        <v/>
      </c>
      <c r="K10" s="22" t="str">
        <f>IF(I10="","",IF(I10&lt;R10,"添加",IF(I10&gt;S10,"稀釋","")))</f>
        <v/>
      </c>
      <c r="L10" s="218" t="str">
        <f>IFERROR(IF(I10&gt;S10, "排液："&amp;ROUND(120*(1-3/I10)*0.32,1)&amp;" L"&amp;"
補水："&amp;ROUND(120*(1-3/I10)*0.32,1)&amp;" L", IF(I10&lt;R10, "鹽酸32%："&amp;ROUND(((3-I10)*120/100)/0.32/1.16, 2)&amp;" L", "")), "")</f>
        <v/>
      </c>
      <c r="M10" s="99"/>
      <c r="N10" s="79" t="str">
        <f>IF(M10="","",3.646*M10*F!$B$3)</f>
        <v/>
      </c>
      <c r="O10" s="18" t="str">
        <f t="shared" si="1"/>
        <v/>
      </c>
      <c r="P10" s="270" t="s">
        <v>123</v>
      </c>
      <c r="Q10" s="269">
        <v>120</v>
      </c>
      <c r="R10" s="159">
        <v>2.5</v>
      </c>
      <c r="S10" s="157">
        <v>3.9</v>
      </c>
    </row>
    <row r="11" spans="1:22" ht="60" customHeight="1">
      <c r="A11" s="242"/>
      <c r="B11" s="248"/>
      <c r="C11" s="158" t="s">
        <v>239</v>
      </c>
      <c r="D11" s="26" t="s">
        <v>90</v>
      </c>
      <c r="E11" s="128">
        <v>0</v>
      </c>
      <c r="F11" s="24" t="s">
        <v>17</v>
      </c>
      <c r="G11" s="31">
        <v>300</v>
      </c>
      <c r="H11" s="137"/>
      <c r="I11" s="3" t="str">
        <f>IF(H11="","",H11*1.5885*2/25*1000)</f>
        <v/>
      </c>
      <c r="J11" s="18" t="str">
        <f t="shared" si="0"/>
        <v/>
      </c>
      <c r="K11" s="22" t="str">
        <f>IF(I11="","",IF(I11&gt;S11,"更槽",""))</f>
        <v/>
      </c>
      <c r="L11" s="219"/>
      <c r="M11" s="99"/>
      <c r="N11" s="79" t="str">
        <f>IF(M11="","",M11*1.5885*2/25*1000)</f>
        <v/>
      </c>
      <c r="O11" s="18" t="str">
        <f t="shared" si="1"/>
        <v/>
      </c>
      <c r="P11" s="270"/>
      <c r="Q11" s="269"/>
      <c r="R11" s="159" t="s">
        <v>73</v>
      </c>
      <c r="S11" s="157">
        <v>300</v>
      </c>
    </row>
    <row r="12" spans="1:22" ht="60" customHeight="1">
      <c r="A12" s="242"/>
      <c r="B12" s="92" t="s">
        <v>201</v>
      </c>
      <c r="C12" s="26" t="s">
        <v>91</v>
      </c>
      <c r="D12" s="20" t="s">
        <v>87</v>
      </c>
      <c r="E12" s="23">
        <v>5</v>
      </c>
      <c r="F12" s="24" t="s">
        <v>17</v>
      </c>
      <c r="G12" s="32">
        <v>999</v>
      </c>
      <c r="H12" s="186" t="s">
        <v>28</v>
      </c>
      <c r="I12" s="7"/>
      <c r="J12" s="18" t="str">
        <f t="shared" si="0"/>
        <v/>
      </c>
      <c r="K12" s="22" t="str">
        <f>IF(I12="","",IF(I12&lt;R12,"更槽",""))</f>
        <v/>
      </c>
      <c r="L12" s="219"/>
      <c r="M12" s="100" t="s">
        <v>28</v>
      </c>
      <c r="N12" s="7"/>
      <c r="O12" s="18" t="str">
        <f t="shared" si="1"/>
        <v/>
      </c>
      <c r="P12" s="81" t="s">
        <v>124</v>
      </c>
      <c r="Q12" s="105">
        <v>120</v>
      </c>
      <c r="R12" s="157">
        <v>5</v>
      </c>
      <c r="S12" s="158" t="s">
        <v>73</v>
      </c>
    </row>
    <row r="13" spans="1:22" ht="60" customHeight="1">
      <c r="A13" s="241" t="s">
        <v>166</v>
      </c>
      <c r="B13" s="249" t="s">
        <v>211</v>
      </c>
      <c r="C13" s="158" t="s">
        <v>240</v>
      </c>
      <c r="D13" s="80" t="s">
        <v>92</v>
      </c>
      <c r="E13" s="23">
        <v>0.8</v>
      </c>
      <c r="F13" s="24" t="s">
        <v>17</v>
      </c>
      <c r="G13" s="25">
        <v>1.2</v>
      </c>
      <c r="H13" s="187"/>
      <c r="I13" s="107" t="str">
        <f>IF(H13="","",0.0212*4*H13*F!$B$5)</f>
        <v/>
      </c>
      <c r="J13" s="18" t="str">
        <f t="shared" si="0"/>
        <v/>
      </c>
      <c r="K13" s="22" t="str">
        <f>IF(I13="","",IF(I13&lt;R13,"添加",IF(I13&gt;S13,"稀釋","")))</f>
        <v/>
      </c>
      <c r="L13" s="219" t="str">
        <f>IFERROR(IF(I13&gt;S13, "排液："&amp;ROUND(600*(1-1/I13), 0)&amp;" L"&amp;"
補水："&amp;ROUND(600*(1-1/I13), 0)&amp;" L", IF(I13&lt;R13, "碳酸鈉(15%)："&amp;ROUND(((1-I13)*600/100)/0.15, 2)&amp;" L", "")), "")</f>
        <v/>
      </c>
      <c r="M13" s="101"/>
      <c r="N13" s="79" t="str">
        <f>IF(M13="","",0.0212*4*M13*F!$B$5)</f>
        <v/>
      </c>
      <c r="O13" s="18" t="str">
        <f t="shared" si="1"/>
        <v/>
      </c>
      <c r="P13" s="249" t="s">
        <v>138</v>
      </c>
      <c r="Q13" s="269">
        <v>600</v>
      </c>
      <c r="R13" s="159">
        <v>0.9</v>
      </c>
      <c r="S13" s="157">
        <v>1.1499999999999999</v>
      </c>
    </row>
    <row r="14" spans="1:22" ht="60" customHeight="1">
      <c r="A14" s="242"/>
      <c r="B14" s="250"/>
      <c r="C14" s="108" t="s">
        <v>26</v>
      </c>
      <c r="D14" s="20" t="s">
        <v>93</v>
      </c>
      <c r="E14" s="82">
        <v>10.7</v>
      </c>
      <c r="F14" s="24" t="s">
        <v>17</v>
      </c>
      <c r="G14" s="109">
        <v>999</v>
      </c>
      <c r="H14" s="186" t="s">
        <v>28</v>
      </c>
      <c r="I14" s="8"/>
      <c r="J14" s="18" t="str">
        <f t="shared" si="0"/>
        <v/>
      </c>
      <c r="K14" s="22" t="str">
        <f>IF(I14="","",IF(I14&lt;R14,"更槽",""))</f>
        <v/>
      </c>
      <c r="L14" s="219"/>
      <c r="M14" s="100" t="s">
        <v>28</v>
      </c>
      <c r="N14" s="7"/>
      <c r="O14" s="18" t="str">
        <f t="shared" si="1"/>
        <v/>
      </c>
      <c r="P14" s="250"/>
      <c r="Q14" s="269"/>
      <c r="R14" s="158">
        <v>10.7</v>
      </c>
      <c r="S14" s="157">
        <v>11.5</v>
      </c>
    </row>
    <row r="15" spans="1:22" ht="60" customHeight="1">
      <c r="A15" s="242"/>
      <c r="B15" s="249" t="s">
        <v>212</v>
      </c>
      <c r="C15" s="158" t="s">
        <v>240</v>
      </c>
      <c r="D15" s="26" t="s">
        <v>92</v>
      </c>
      <c r="E15" s="30">
        <v>0.8</v>
      </c>
      <c r="F15" s="24" t="s">
        <v>17</v>
      </c>
      <c r="G15" s="31">
        <v>1.2</v>
      </c>
      <c r="H15" s="188"/>
      <c r="I15" s="111" t="str">
        <f>IF(H15="","",0.0212*4*H15*F!$B$5)</f>
        <v/>
      </c>
      <c r="J15" s="18" t="str">
        <f t="shared" si="0"/>
        <v/>
      </c>
      <c r="K15" s="22" t="str">
        <f>IF(I15="","",IF(I15&lt;R15,"添加",IF(I15&gt;S15,"稀釋","")))</f>
        <v/>
      </c>
      <c r="L15" s="219" t="str">
        <f>IFERROR(IF(I15&gt;S15, "排液："&amp;ROUND(160*(1-1/I15), 0)&amp;" L"&amp;"
補水："&amp;ROUND(160*(1-1/I15), 0)&amp;" L", IF(I15&lt;R15, "碳酸鈉(15%)："&amp;ROUND(((1-I15)*160/100)/0.15, 2)&amp;" L", "")), "")</f>
        <v/>
      </c>
      <c r="M15" s="102"/>
      <c r="N15" s="79" t="str">
        <f>IF(M15="","",0.0212*4*M15*F!$B$5)</f>
        <v/>
      </c>
      <c r="O15" s="18" t="str">
        <f t="shared" si="1"/>
        <v/>
      </c>
      <c r="P15" s="249" t="s">
        <v>138</v>
      </c>
      <c r="Q15" s="269">
        <v>160</v>
      </c>
      <c r="R15" s="159">
        <v>0.9</v>
      </c>
      <c r="S15" s="157">
        <v>1.1499999999999999</v>
      </c>
    </row>
    <row r="16" spans="1:22" ht="60" customHeight="1">
      <c r="A16" s="242"/>
      <c r="B16" s="250"/>
      <c r="C16" s="112" t="s">
        <v>26</v>
      </c>
      <c r="D16" s="20" t="s">
        <v>93</v>
      </c>
      <c r="E16" s="23">
        <v>10.7</v>
      </c>
      <c r="F16" s="24" t="s">
        <v>17</v>
      </c>
      <c r="G16" s="32">
        <v>999</v>
      </c>
      <c r="H16" s="186" t="s">
        <v>28</v>
      </c>
      <c r="I16" s="7"/>
      <c r="J16" s="18" t="str">
        <f t="shared" si="0"/>
        <v/>
      </c>
      <c r="K16" s="22" t="str">
        <f>IF(I16="","",IF(I16&lt;R16,"更槽",""))</f>
        <v/>
      </c>
      <c r="L16" s="219"/>
      <c r="M16" s="100" t="s">
        <v>28</v>
      </c>
      <c r="N16" s="7"/>
      <c r="O16" s="18" t="str">
        <f t="shared" si="1"/>
        <v/>
      </c>
      <c r="P16" s="250"/>
      <c r="Q16" s="269"/>
      <c r="R16" s="158">
        <v>10.7</v>
      </c>
      <c r="S16" s="157">
        <v>11.5</v>
      </c>
    </row>
    <row r="17" spans="1:22" ht="60" customHeight="1">
      <c r="A17" s="242"/>
      <c r="B17" s="249" t="s">
        <v>207</v>
      </c>
      <c r="C17" s="158" t="s">
        <v>240</v>
      </c>
      <c r="D17" s="26" t="s">
        <v>92</v>
      </c>
      <c r="E17" s="30">
        <v>0.8</v>
      </c>
      <c r="F17" s="24" t="s">
        <v>17</v>
      </c>
      <c r="G17" s="31">
        <v>1.2</v>
      </c>
      <c r="H17" s="177"/>
      <c r="I17" s="111" t="str">
        <f>IF(H17="","",0.0212*4*H17*F!$B$5)</f>
        <v/>
      </c>
      <c r="J17" s="18" t="str">
        <f t="shared" si="0"/>
        <v/>
      </c>
      <c r="K17" s="22" t="str">
        <f t="shared" ref="K17" si="2">IF(I17="","",IF(I17&lt;R17,"添加",IF(I17&gt;S17,"稀釋","")))</f>
        <v/>
      </c>
      <c r="L17" s="218" t="str">
        <f>IFERROR(IF(I17&gt;S17, "排液："&amp;ROUND(300*(1-1/I17), 0)&amp;" L"&amp;"
補水："&amp;ROUND(160*(1-1/I17), 0)&amp;" L", IF(I17&lt;R17, "碳酸鈉(15%)："&amp;ROUND(((1-I17)*160/100)/0.15, 2)&amp;" L", "")), "")</f>
        <v/>
      </c>
      <c r="M17" s="102"/>
      <c r="N17" s="79" t="str">
        <f>IF(M17="","",0.0212*4*M17*F!$B$5)</f>
        <v/>
      </c>
      <c r="O17" s="18" t="str">
        <f t="shared" si="1"/>
        <v/>
      </c>
      <c r="P17" s="249" t="s">
        <v>138</v>
      </c>
      <c r="Q17" s="258">
        <v>320</v>
      </c>
      <c r="R17" s="158">
        <v>0.9</v>
      </c>
      <c r="S17" s="157">
        <v>1.1499999999999999</v>
      </c>
    </row>
    <row r="18" spans="1:22" ht="60" customHeight="1">
      <c r="A18" s="256"/>
      <c r="B18" s="257"/>
      <c r="C18" s="112" t="s">
        <v>26</v>
      </c>
      <c r="D18" s="166" t="s">
        <v>179</v>
      </c>
      <c r="E18" s="185">
        <v>11</v>
      </c>
      <c r="F18" s="24" t="s">
        <v>17</v>
      </c>
      <c r="G18" s="32">
        <v>999</v>
      </c>
      <c r="H18" s="189" t="s">
        <v>28</v>
      </c>
      <c r="I18" s="84"/>
      <c r="J18" s="18" t="str">
        <f t="shared" si="0"/>
        <v/>
      </c>
      <c r="K18" s="22" t="str">
        <f>IF(I18="","",IF(I18&lt;R18,"更槽",""))</f>
        <v/>
      </c>
      <c r="L18" s="219" t="str">
        <f>IF(I18="","",IF(I18&lt;R18,"通知工程師",""))</f>
        <v/>
      </c>
      <c r="M18" s="183"/>
      <c r="N18" s="184"/>
      <c r="O18" s="18" t="str">
        <f t="shared" si="1"/>
        <v/>
      </c>
      <c r="P18" s="250"/>
      <c r="Q18" s="258"/>
      <c r="R18" s="158">
        <v>11</v>
      </c>
      <c r="S18" s="157">
        <v>11.9</v>
      </c>
    </row>
    <row r="19" spans="1:22" ht="60" customHeight="1">
      <c r="A19" s="241" t="s">
        <v>167</v>
      </c>
      <c r="B19" s="203" t="s">
        <v>208</v>
      </c>
      <c r="C19" s="158" t="s">
        <v>238</v>
      </c>
      <c r="D19" s="26" t="s">
        <v>97</v>
      </c>
      <c r="E19" s="30">
        <v>13</v>
      </c>
      <c r="F19" s="130" t="s">
        <v>17</v>
      </c>
      <c r="G19" s="31">
        <v>17</v>
      </c>
      <c r="H19" s="188"/>
      <c r="I19" s="111" t="str">
        <f>IF(H19="","",H19/5*10.51*F!$B$5)</f>
        <v/>
      </c>
      <c r="J19" s="18" t="str">
        <f t="shared" si="0"/>
        <v/>
      </c>
      <c r="K19" s="22" t="str">
        <f t="shared" ref="K19:K24" si="3">IF(I19="","",IF(I19&lt;R19,"添加",IF(I19&gt;S19,"稀釋","")))</f>
        <v/>
      </c>
      <c r="L19" s="219" t="str">
        <f>IF(I19="","",IF(I19&gt;S19,"通知工程師",IF(I19&lt;R19, "CXW-PS318(A)：" &amp; ROUND(((15-I19)/15)*Q19*10%,0) &amp; " L" &amp; "
CXW-PS318(B)：" &amp; ROUND(((15-I19)/15)*Q19*5%,0) &amp; " L", "")))</f>
        <v/>
      </c>
      <c r="M19" s="102"/>
      <c r="N19" s="79" t="str">
        <f>IF(M19="","",M19/5*10.51*F!$B$5)</f>
        <v/>
      </c>
      <c r="O19" s="18" t="str">
        <f t="shared" si="1"/>
        <v/>
      </c>
      <c r="P19" s="129" t="s">
        <v>135</v>
      </c>
      <c r="Q19" s="113">
        <v>900</v>
      </c>
      <c r="R19" s="179">
        <v>14</v>
      </c>
      <c r="S19" s="157">
        <v>16.899999999999999</v>
      </c>
    </row>
    <row r="20" spans="1:22" ht="60" customHeight="1">
      <c r="A20" s="242"/>
      <c r="B20" s="203" t="s">
        <v>209</v>
      </c>
      <c r="C20" s="158" t="s">
        <v>238</v>
      </c>
      <c r="D20" s="26" t="s">
        <v>97</v>
      </c>
      <c r="E20" s="30">
        <v>13</v>
      </c>
      <c r="F20" s="130" t="s">
        <v>17</v>
      </c>
      <c r="G20" s="31">
        <v>17</v>
      </c>
      <c r="H20" s="188"/>
      <c r="I20" s="111" t="str">
        <f>IF(H20="","",H20/5*10.51*F!$B$5)</f>
        <v/>
      </c>
      <c r="J20" s="18" t="str">
        <f t="shared" si="0"/>
        <v/>
      </c>
      <c r="K20" s="22" t="str">
        <f t="shared" si="3"/>
        <v/>
      </c>
      <c r="L20" s="219" t="str">
        <f t="shared" ref="L20:L21" si="4">IF(I20="","",IF(I20&gt;S20,"通知工程師",IF(I20&lt;R20, "CXW-PS318(A)：" &amp; ROUND(((15-I20)/15)*Q20*10%,0) &amp; " L" &amp; "
CXW-PS318(B)：" &amp; ROUND(((15-I20)/15)*Q20*5%,0) &amp; " L", "")))</f>
        <v/>
      </c>
      <c r="M20" s="102"/>
      <c r="N20" s="79" t="str">
        <f>IF(M20="","",M20/5*10.51*F!$B$5)</f>
        <v/>
      </c>
      <c r="O20" s="18" t="str">
        <f t="shared" si="1"/>
        <v/>
      </c>
      <c r="P20" s="129" t="s">
        <v>135</v>
      </c>
      <c r="Q20" s="113">
        <v>1250</v>
      </c>
      <c r="R20" s="179">
        <v>14</v>
      </c>
      <c r="S20" s="157">
        <v>16.899999999999999</v>
      </c>
    </row>
    <row r="21" spans="1:22" ht="60" customHeight="1">
      <c r="A21" s="242"/>
      <c r="B21" s="204" t="s">
        <v>213</v>
      </c>
      <c r="C21" s="158" t="s">
        <v>238</v>
      </c>
      <c r="D21" s="18" t="s">
        <v>97</v>
      </c>
      <c r="E21" s="30">
        <v>13</v>
      </c>
      <c r="F21" s="130" t="s">
        <v>17</v>
      </c>
      <c r="G21" s="31">
        <v>17</v>
      </c>
      <c r="H21" s="137"/>
      <c r="I21" s="79" t="str">
        <f>IF(H21="","",H21/5*10.51*F!$B$5)</f>
        <v/>
      </c>
      <c r="J21" s="18" t="str">
        <f t="shared" si="0"/>
        <v/>
      </c>
      <c r="K21" s="22" t="str">
        <f t="shared" si="3"/>
        <v/>
      </c>
      <c r="L21" s="219" t="str">
        <f t="shared" si="4"/>
        <v/>
      </c>
      <c r="M21" s="99"/>
      <c r="N21" s="79" t="str">
        <f>IF(M21="","",M21/5*10.51*F!$B$5)</f>
        <v/>
      </c>
      <c r="O21" s="18" t="str">
        <f t="shared" si="1"/>
        <v/>
      </c>
      <c r="P21" s="129" t="s">
        <v>135</v>
      </c>
      <c r="Q21" s="113">
        <v>350</v>
      </c>
      <c r="R21" s="179">
        <v>14</v>
      </c>
      <c r="S21" s="157">
        <v>16.899999999999999</v>
      </c>
    </row>
    <row r="22" spans="1:22" ht="60" customHeight="1">
      <c r="A22" s="242"/>
      <c r="B22" s="205" t="s">
        <v>200</v>
      </c>
      <c r="C22" s="166" t="s">
        <v>224</v>
      </c>
      <c r="D22" s="80" t="s">
        <v>76</v>
      </c>
      <c r="E22" s="23">
        <v>4</v>
      </c>
      <c r="F22" s="24" t="s">
        <v>17</v>
      </c>
      <c r="G22" s="25">
        <v>6</v>
      </c>
      <c r="H22" s="190"/>
      <c r="I22" s="114" t="str">
        <f>IF(H22="","",H22*0.04904*F!$B$3*100)</f>
        <v/>
      </c>
      <c r="J22" s="18" t="str">
        <f t="shared" si="0"/>
        <v/>
      </c>
      <c r="K22" s="22" t="str">
        <f t="shared" si="3"/>
        <v/>
      </c>
      <c r="L22" s="136" t="str">
        <f>IFERROR(IF(I22&gt;S22, "排液："&amp;ROUND(250*(1-5/I22)*0.5,1)&amp;" L" &amp;"
補水："&amp;ROUND(250*(1-5/I22)*0.5,1)&amp;" L", IF(I22&lt;R22, "硫酸(50%)："&amp;ROUND(((5-I22)*250/100)/0.5, 1)&amp;" L", "")), "")</f>
        <v/>
      </c>
      <c r="M22" s="103"/>
      <c r="N22" s="79" t="str">
        <f>IF(M22="","",M22*0.04904*F!$B$3*100)</f>
        <v/>
      </c>
      <c r="O22" s="18" t="str">
        <f t="shared" si="1"/>
        <v/>
      </c>
      <c r="P22" s="81" t="s">
        <v>136</v>
      </c>
      <c r="Q22" s="113">
        <v>250</v>
      </c>
      <c r="R22" s="179">
        <v>4.5</v>
      </c>
      <c r="S22" s="157">
        <v>5.9</v>
      </c>
    </row>
    <row r="23" spans="1:22" ht="60" customHeight="1">
      <c r="A23" s="242"/>
      <c r="B23" s="203" t="s">
        <v>215</v>
      </c>
      <c r="C23" s="158" t="s">
        <v>238</v>
      </c>
      <c r="D23" s="26" t="s">
        <v>97</v>
      </c>
      <c r="E23" s="30">
        <v>13</v>
      </c>
      <c r="F23" s="130" t="s">
        <v>17</v>
      </c>
      <c r="G23" s="31">
        <v>17</v>
      </c>
      <c r="H23" s="188"/>
      <c r="I23" s="111" t="str">
        <f>IF(H23="","",H23/5*10.51*F!$B$5)</f>
        <v/>
      </c>
      <c r="J23" s="18" t="str">
        <f t="shared" si="0"/>
        <v/>
      </c>
      <c r="K23" s="22" t="str">
        <f t="shared" si="3"/>
        <v/>
      </c>
      <c r="L23" s="219" t="str">
        <f>IF(I23="","",IF(I23&gt;S23,"通知工程師",IF(I23&lt;R23,"CXW-PS318(A)：" &amp; ROUND(((15-I23)/15)*Q23*10%,0) &amp; " L" &amp;"
CXW-PS318(B)：" &amp; ROUND(((15-I23)/15)*Q23*5%,0) &amp; " L","")))</f>
        <v/>
      </c>
      <c r="M23" s="102"/>
      <c r="N23" s="79" t="str">
        <f>IF(M23="","",M23/5*10.51*F!$B$5)</f>
        <v/>
      </c>
      <c r="O23" s="18" t="str">
        <f t="shared" si="1"/>
        <v/>
      </c>
      <c r="P23" s="129" t="s">
        <v>135</v>
      </c>
      <c r="Q23" s="113">
        <v>150</v>
      </c>
      <c r="R23" s="179">
        <v>14</v>
      </c>
      <c r="S23" s="157">
        <v>16.899999999999999</v>
      </c>
    </row>
    <row r="24" spans="1:22" ht="60" customHeight="1">
      <c r="A24" s="242"/>
      <c r="B24" s="203" t="s">
        <v>214</v>
      </c>
      <c r="C24" s="158" t="s">
        <v>238</v>
      </c>
      <c r="D24" s="26" t="s">
        <v>97</v>
      </c>
      <c r="E24" s="30">
        <v>13</v>
      </c>
      <c r="F24" s="130" t="s">
        <v>17</v>
      </c>
      <c r="G24" s="31">
        <v>17</v>
      </c>
      <c r="H24" s="188"/>
      <c r="I24" s="111" t="str">
        <f>IF(H24="","",H24/5*10.51*F!$B$5)</f>
        <v/>
      </c>
      <c r="J24" s="18" t="str">
        <f t="shared" si="0"/>
        <v/>
      </c>
      <c r="K24" s="22" t="str">
        <f t="shared" si="3"/>
        <v/>
      </c>
      <c r="L24" s="219" t="str">
        <f>IF(I24="","",IF(I24&gt;S24,"通知工程師",IF(I24&lt;R24,"CXW-PS318(A)：" &amp; ROUND(((15-I24)/15)*Q24*10%,0) &amp; " L" &amp;"
CXW-PS318(B)：" &amp; ROUND(((15-I24)/15)*Q24*5%,0) &amp; " L","")))</f>
        <v/>
      </c>
      <c r="M24" s="102"/>
      <c r="N24" s="79" t="str">
        <f>IF(M24="","",M24/5*10.51*F!$B$5)</f>
        <v/>
      </c>
      <c r="O24" s="18" t="str">
        <f t="shared" si="1"/>
        <v/>
      </c>
      <c r="P24" s="129" t="s">
        <v>135</v>
      </c>
      <c r="Q24" s="113">
        <v>150</v>
      </c>
      <c r="R24" s="179">
        <v>14</v>
      </c>
      <c r="S24" s="157">
        <v>16.899999999999999</v>
      </c>
    </row>
    <row r="25" spans="1:22" ht="60" customHeight="1">
      <c r="A25" s="241" t="s">
        <v>168</v>
      </c>
      <c r="B25" s="251" t="s">
        <v>217</v>
      </c>
      <c r="C25" s="166" t="s">
        <v>224</v>
      </c>
      <c r="D25" s="226" t="s">
        <v>247</v>
      </c>
      <c r="E25" s="227">
        <v>6</v>
      </c>
      <c r="F25" s="228" t="s">
        <v>17</v>
      </c>
      <c r="G25" s="229">
        <v>14</v>
      </c>
      <c r="H25" s="188"/>
      <c r="I25" s="115" t="str">
        <f>IF(H25="","",H25*49/5*F!$B$3/750*100)</f>
        <v/>
      </c>
      <c r="J25" s="18" t="str">
        <f t="shared" si="0"/>
        <v/>
      </c>
      <c r="K25" s="22"/>
      <c r="L25" s="220"/>
      <c r="M25" s="102"/>
      <c r="N25" s="116" t="str">
        <f>IF(M25="","",M25*49/5*F!$B$3/750*100)</f>
        <v/>
      </c>
      <c r="O25" s="18" t="str">
        <f t="shared" si="1"/>
        <v/>
      </c>
      <c r="P25" s="81" t="s">
        <v>136</v>
      </c>
      <c r="Q25" s="262">
        <v>1050</v>
      </c>
      <c r="R25" s="180">
        <v>6.5</v>
      </c>
      <c r="S25" s="157">
        <v>8.8000000000000007</v>
      </c>
      <c r="T25" s="14" t="s">
        <v>246</v>
      </c>
      <c r="U25" s="160">
        <v>46246</v>
      </c>
      <c r="V25" s="160">
        <v>46338</v>
      </c>
    </row>
    <row r="26" spans="1:22" ht="60" customHeight="1">
      <c r="A26" s="242"/>
      <c r="B26" s="252"/>
      <c r="C26" s="158" t="s">
        <v>232</v>
      </c>
      <c r="D26" s="27" t="s">
        <v>95</v>
      </c>
      <c r="E26" s="23">
        <v>10</v>
      </c>
      <c r="F26" s="24" t="s">
        <v>17</v>
      </c>
      <c r="G26" s="25">
        <v>35</v>
      </c>
      <c r="H26" s="137"/>
      <c r="I26" s="116" t="str">
        <f>IF(H26="","",3.177*H26*F!$B$6)</f>
        <v/>
      </c>
      <c r="J26" s="18" t="str">
        <f t="shared" si="0"/>
        <v/>
      </c>
      <c r="K26" s="22"/>
      <c r="L26" s="221"/>
      <c r="M26" s="99"/>
      <c r="N26" s="116" t="str">
        <f>IF(M26="","",3.177*M26*F!$B$6)</f>
        <v/>
      </c>
      <c r="O26" s="18" t="str">
        <f t="shared" si="1"/>
        <v/>
      </c>
      <c r="P26" s="81" t="s">
        <v>125</v>
      </c>
      <c r="Q26" s="262"/>
      <c r="R26" s="181">
        <v>11</v>
      </c>
      <c r="S26" s="157">
        <v>34</v>
      </c>
    </row>
    <row r="27" spans="1:22" ht="60" customHeight="1">
      <c r="A27" s="242"/>
      <c r="B27" s="253"/>
      <c r="C27" s="158" t="s">
        <v>241</v>
      </c>
      <c r="D27" s="226" t="s">
        <v>248</v>
      </c>
      <c r="E27" s="227">
        <v>4</v>
      </c>
      <c r="F27" s="228" t="s">
        <v>17</v>
      </c>
      <c r="G27" s="229">
        <v>10</v>
      </c>
      <c r="H27" s="137"/>
      <c r="I27" s="116" t="str">
        <f>IF(H27="","",H27*4.857/0.5*F!$B$7/1140*100)</f>
        <v/>
      </c>
      <c r="J27" s="18" t="str">
        <f t="shared" si="0"/>
        <v/>
      </c>
      <c r="K27" s="22"/>
      <c r="L27" s="221"/>
      <c r="M27" s="99"/>
      <c r="N27" s="116" t="str">
        <f>IF(M27="","",M27*4.857/0.5*F!$B$7/1140*100)</f>
        <v/>
      </c>
      <c r="O27" s="18" t="str">
        <f t="shared" si="1"/>
        <v/>
      </c>
      <c r="P27" s="81" t="s">
        <v>127</v>
      </c>
      <c r="Q27" s="262"/>
      <c r="R27" s="180">
        <v>4</v>
      </c>
      <c r="S27" s="157">
        <v>6</v>
      </c>
      <c r="T27" s="14" t="s">
        <v>246</v>
      </c>
      <c r="U27" s="160">
        <v>46246</v>
      </c>
      <c r="V27" s="160">
        <v>46338</v>
      </c>
    </row>
    <row r="28" spans="1:22" ht="60" customHeight="1">
      <c r="A28" s="242"/>
      <c r="B28" s="259" t="s">
        <v>207</v>
      </c>
      <c r="C28" s="232" t="s">
        <v>251</v>
      </c>
      <c r="D28" s="226" t="s">
        <v>249</v>
      </c>
      <c r="E28" s="230">
        <v>12</v>
      </c>
      <c r="F28" s="228" t="s">
        <v>17</v>
      </c>
      <c r="G28" s="231">
        <v>16</v>
      </c>
      <c r="H28" s="191"/>
      <c r="I28" s="115" t="str">
        <f>IF(H28="","",H28*49/5*F!$B$3/750*100)</f>
        <v/>
      </c>
      <c r="J28" s="18" t="str">
        <f t="shared" si="0"/>
        <v/>
      </c>
      <c r="K28" s="157"/>
      <c r="L28" s="220"/>
      <c r="M28" s="156"/>
      <c r="N28" s="116" t="str">
        <f>IF(M28="","",M28*49/5*F!$B$3/750*100)</f>
        <v/>
      </c>
      <c r="O28" s="18" t="str">
        <f t="shared" si="1"/>
        <v/>
      </c>
      <c r="P28" s="158"/>
      <c r="Q28" s="225"/>
      <c r="R28" s="180"/>
      <c r="S28" s="157"/>
      <c r="T28" s="14" t="s">
        <v>246</v>
      </c>
      <c r="U28" s="160">
        <v>46246</v>
      </c>
      <c r="V28" s="160">
        <v>46338</v>
      </c>
    </row>
    <row r="29" spans="1:22" ht="60" customHeight="1">
      <c r="A29" s="242"/>
      <c r="B29" s="260"/>
      <c r="C29" s="232" t="s">
        <v>252</v>
      </c>
      <c r="D29" s="226" t="s">
        <v>250</v>
      </c>
      <c r="E29" s="230">
        <v>6</v>
      </c>
      <c r="F29" s="228" t="s">
        <v>17</v>
      </c>
      <c r="G29" s="231">
        <v>10</v>
      </c>
      <c r="H29" s="191"/>
      <c r="I29" s="116" t="str">
        <f>IF(H29="","",H29*4.857/0.5*F!$B$7/1140*100)</f>
        <v/>
      </c>
      <c r="J29" s="18" t="str">
        <f t="shared" si="0"/>
        <v/>
      </c>
      <c r="K29" s="157"/>
      <c r="L29" s="220"/>
      <c r="M29" s="156"/>
      <c r="N29" s="116" t="str">
        <f>IF(M29="","",M29*4.857/0.5*F!$B$7/1140*100)</f>
        <v/>
      </c>
      <c r="O29" s="18" t="str">
        <f t="shared" si="1"/>
        <v/>
      </c>
      <c r="P29" s="158"/>
      <c r="Q29" s="225"/>
      <c r="R29" s="180"/>
      <c r="S29" s="157"/>
      <c r="T29" s="14" t="s">
        <v>246</v>
      </c>
      <c r="U29" s="160">
        <v>46246</v>
      </c>
      <c r="V29" s="160">
        <v>46338</v>
      </c>
    </row>
    <row r="30" spans="1:22" ht="60" customHeight="1">
      <c r="A30" s="242"/>
      <c r="B30" s="251" t="s">
        <v>218</v>
      </c>
      <c r="C30" s="166" t="s">
        <v>242</v>
      </c>
      <c r="D30" s="80" t="s">
        <v>98</v>
      </c>
      <c r="E30" s="85">
        <v>3</v>
      </c>
      <c r="F30" s="24" t="s">
        <v>17</v>
      </c>
      <c r="G30" s="86">
        <v>5</v>
      </c>
      <c r="H30" s="137"/>
      <c r="I30" s="116" t="str">
        <f>IF(H30="","",37.4*H30*F!$B$3/10)</f>
        <v/>
      </c>
      <c r="J30" s="18" t="str">
        <f t="shared" si="0"/>
        <v/>
      </c>
      <c r="K30" s="22" t="str">
        <f t="shared" ref="K30:K33" si="5">IF(I30="","",IF(I30&lt;R30,"添加",IF(I30&gt;S30,"稀釋","")))</f>
        <v/>
      </c>
      <c r="L30" s="223" t="str">
        <f>IFERROR(IF(I30&gt;S30, "排液："&amp;ROUND(200*(1-4/I30)*0.5,1)&amp;" L"&amp;"
補水："&amp;ROUND(200*(1-4/I30)*0.5,1)&amp;" L", IF(I30&lt;R30, "硝酸："&amp;ROUND(((4-I30)/0.5/1.31), 1)&amp;" L", "")), "")</f>
        <v/>
      </c>
      <c r="M30" s="99"/>
      <c r="N30" s="116" t="str">
        <f>IF(M30="","",37.4*M30*F!$B$3/10)</f>
        <v/>
      </c>
      <c r="O30" s="18" t="str">
        <f t="shared" si="1"/>
        <v/>
      </c>
      <c r="P30" s="81" t="s">
        <v>126</v>
      </c>
      <c r="Q30" s="243">
        <v>200</v>
      </c>
      <c r="R30" s="182">
        <v>3.5</v>
      </c>
      <c r="S30" s="157">
        <v>4.8</v>
      </c>
    </row>
    <row r="31" spans="1:22" ht="60" customHeight="1">
      <c r="A31" s="242"/>
      <c r="B31" s="254"/>
      <c r="C31" s="158" t="s">
        <v>232</v>
      </c>
      <c r="D31" s="18" t="s">
        <v>157</v>
      </c>
      <c r="E31" s="87">
        <v>0</v>
      </c>
      <c r="F31" s="24" t="s">
        <v>156</v>
      </c>
      <c r="G31" s="86">
        <v>5</v>
      </c>
      <c r="H31" s="191"/>
      <c r="I31" s="116" t="str">
        <f>IF(H31="","",3.177*H31*F!$B$6)</f>
        <v/>
      </c>
      <c r="J31" s="18" t="str">
        <f t="shared" ref="J31" si="6">IF(I31="","",IF(OR(I31&lt;E31,I31&gt;G31),"NG","OK"))</f>
        <v/>
      </c>
      <c r="K31" s="157" t="str">
        <f>IF(I31="","",IF(I31&gt;S31,"更槽",""))</f>
        <v/>
      </c>
      <c r="L31" s="220"/>
      <c r="M31" s="156"/>
      <c r="N31" s="116" t="str">
        <f>IF(M31="","",3.177*M31*F!$B$6)</f>
        <v/>
      </c>
      <c r="O31" s="18" t="str">
        <f t="shared" ref="O31" si="7">IF(N31="","",IF(OR(N31&lt;E31,N31&gt;G31),"NG","OK"))</f>
        <v/>
      </c>
      <c r="P31" s="158" t="s">
        <v>125</v>
      </c>
      <c r="Q31" s="244"/>
      <c r="R31" s="159" t="s">
        <v>73</v>
      </c>
      <c r="S31" s="157">
        <v>5</v>
      </c>
    </row>
    <row r="32" spans="1:22" ht="60" customHeight="1">
      <c r="A32" s="242"/>
      <c r="B32" s="255"/>
      <c r="C32" s="158" t="s">
        <v>241</v>
      </c>
      <c r="D32" s="80" t="s">
        <v>99</v>
      </c>
      <c r="E32" s="85">
        <v>0.5</v>
      </c>
      <c r="F32" s="24" t="s">
        <v>17</v>
      </c>
      <c r="G32" s="86">
        <v>2.5</v>
      </c>
      <c r="H32" s="137"/>
      <c r="I32" s="116" t="str">
        <f>IF(H32="","",H32*4.857/0.5*F!$B$7/1140*100)</f>
        <v/>
      </c>
      <c r="J32" s="18" t="str">
        <f t="shared" si="0"/>
        <v/>
      </c>
      <c r="K32" s="22" t="str">
        <f t="shared" si="5"/>
        <v/>
      </c>
      <c r="L32" s="221" t="str">
        <f>IFERROR(IF(I32&gt;S32, "排液："&amp;ROUND(200*(1-1.5/I32)*0.5,1)&amp;" L"&amp;"
補水："&amp;ROUND(200*(1-1.5/I32)*0.5,1)&amp;" L", IF(I32&lt;R32, "H2O2："&amp;ROUND(((1.5-I32)*200/100), 2)&amp;" L", "")), "")</f>
        <v/>
      </c>
      <c r="M32" s="99"/>
      <c r="N32" s="116" t="str">
        <f>IF(M32="","",M32*4.857/0.5*F!$B$7/1140*100)</f>
        <v/>
      </c>
      <c r="O32" s="18" t="str">
        <f t="shared" si="1"/>
        <v/>
      </c>
      <c r="P32" s="81" t="s">
        <v>127</v>
      </c>
      <c r="Q32" s="244"/>
      <c r="R32" s="182">
        <v>1.3</v>
      </c>
      <c r="S32" s="157">
        <v>2.4</v>
      </c>
    </row>
    <row r="33" spans="1:19" ht="60" customHeight="1">
      <c r="A33" s="242"/>
      <c r="B33" s="205" t="s">
        <v>200</v>
      </c>
      <c r="C33" s="166" t="s">
        <v>224</v>
      </c>
      <c r="D33" s="18" t="s">
        <v>76</v>
      </c>
      <c r="E33" s="23">
        <v>4</v>
      </c>
      <c r="F33" s="24" t="s">
        <v>17</v>
      </c>
      <c r="G33" s="25">
        <v>6</v>
      </c>
      <c r="H33" s="137"/>
      <c r="I33" s="116" t="str">
        <f>IF(H33="","",H33*0.04904*F!$B$3*100)</f>
        <v/>
      </c>
      <c r="J33" s="18" t="str">
        <f t="shared" si="0"/>
        <v/>
      </c>
      <c r="K33" s="22" t="str">
        <f t="shared" si="5"/>
        <v/>
      </c>
      <c r="L33" s="219" t="str">
        <f>IFERROR(IF(I33&gt;S33, "排液："&amp;ROUND(200*(1-5/I33)*0.5,1)&amp;" L"&amp;"
補水："&amp;ROUND(200*(1-5/I33)*0.5,1)&amp;" L", IF(I33&lt;R33, "硫酸(50%)："&amp;ROUND(((5-I33)*200/100), 2)&amp;" L", "")), "")</f>
        <v/>
      </c>
      <c r="M33" s="99"/>
      <c r="N33" s="116" t="str">
        <f>IF(M33="","",M33*0.04904*F!$B$3*100)</f>
        <v/>
      </c>
      <c r="O33" s="18" t="str">
        <f t="shared" si="1"/>
        <v/>
      </c>
      <c r="P33" s="81" t="s">
        <v>136</v>
      </c>
      <c r="Q33" s="113">
        <v>200</v>
      </c>
      <c r="R33" s="179">
        <v>4.5</v>
      </c>
      <c r="S33" s="157">
        <v>5.9</v>
      </c>
    </row>
    <row r="34" spans="1:19" ht="18" customHeight="1">
      <c r="A34" s="33" t="s">
        <v>19</v>
      </c>
      <c r="B34" s="15"/>
      <c r="C34" s="34"/>
      <c r="D34" s="34"/>
      <c r="E34" s="34"/>
      <c r="F34" s="34"/>
      <c r="G34" s="34"/>
      <c r="H34" s="34"/>
      <c r="I34" s="34"/>
      <c r="J34" s="35"/>
      <c r="K34" s="17" t="str">
        <f>IF(J34="","",IF(I34&lt;R34,"添加",IF(I34&gt;#REF!,"稀釋","")))</f>
        <v/>
      </c>
      <c r="L34" s="17" t="str">
        <f>IF(P34="","",((R34-I34)/100)*Q33)</f>
        <v/>
      </c>
      <c r="R34"/>
      <c r="S34" s="17"/>
    </row>
    <row r="35" spans="1:19" ht="18" customHeight="1">
      <c r="A35" s="94"/>
      <c r="B35" s="95"/>
      <c r="D35" s="15"/>
      <c r="E35" s="15"/>
      <c r="F35" s="15"/>
      <c r="G35" s="15"/>
      <c r="H35" s="15"/>
      <c r="I35" s="15"/>
      <c r="J35" s="36"/>
      <c r="K35" s="17" t="str">
        <f>IF(J35="","",IF(I35&lt;R35,"添加",IF(I35&gt;#REF!,"稀釋","")))</f>
        <v/>
      </c>
      <c r="L35" s="17" t="str">
        <f>IF(P35="","",((R35-I35)/100)*Q35/0.5)</f>
        <v/>
      </c>
      <c r="S35" s="17"/>
    </row>
    <row r="36" spans="1:19" ht="18" customHeight="1">
      <c r="A36" s="95"/>
      <c r="B36" s="95"/>
      <c r="C36" s="95"/>
      <c r="D36" s="95"/>
      <c r="E36" s="95"/>
      <c r="F36" s="95"/>
      <c r="G36" s="95"/>
      <c r="H36" s="95"/>
      <c r="I36" s="95"/>
      <c r="J36" s="96"/>
      <c r="S36" s="17"/>
    </row>
    <row r="37" spans="1:19" ht="18" customHeight="1">
      <c r="A37" s="122"/>
      <c r="B37" s="122"/>
      <c r="C37" s="97"/>
      <c r="D37" s="97"/>
      <c r="E37" s="97"/>
      <c r="F37" s="97"/>
      <c r="G37" s="97"/>
      <c r="H37" s="97"/>
      <c r="I37" s="97"/>
      <c r="J37" s="98"/>
    </row>
    <row r="38" spans="1:19" ht="31.5" customHeight="1">
      <c r="A38" s="37" t="s">
        <v>21</v>
      </c>
      <c r="C38" s="38" t="s">
        <v>22</v>
      </c>
      <c r="H38" s="38" t="s">
        <v>23</v>
      </c>
    </row>
    <row r="39" spans="1:19" ht="18" customHeight="1"/>
  </sheetData>
  <sheetProtection algorithmName="SHA-512" hashValue="g1ecC8vwTwY0R40fqs3pq52X9cM7YAzceZRHstu9/jghYyThJrMge3aWVTfVvE4YE+1jkHJxkf0ha3NFbP5JfA==" saltValue="E0AXb4ksQOXJA3gvnWhR7g==" spinCount="100000" sheet="1" objects="1" scenarios="1"/>
  <mergeCells count="31">
    <mergeCell ref="T5:V5"/>
    <mergeCell ref="Q25:Q27"/>
    <mergeCell ref="B4:J4"/>
    <mergeCell ref="B5:J5"/>
    <mergeCell ref="Q15:Q16"/>
    <mergeCell ref="P8:P9"/>
    <mergeCell ref="P10:P11"/>
    <mergeCell ref="Q8:Q9"/>
    <mergeCell ref="Q10:Q11"/>
    <mergeCell ref="Q13:Q14"/>
    <mergeCell ref="P13:P14"/>
    <mergeCell ref="P15:P16"/>
    <mergeCell ref="Q30:Q32"/>
    <mergeCell ref="A19:A24"/>
    <mergeCell ref="A25:A33"/>
    <mergeCell ref="B8:B9"/>
    <mergeCell ref="B10:B11"/>
    <mergeCell ref="B13:B14"/>
    <mergeCell ref="B15:B16"/>
    <mergeCell ref="B25:B27"/>
    <mergeCell ref="B30:B32"/>
    <mergeCell ref="A13:A18"/>
    <mergeCell ref="B17:B18"/>
    <mergeCell ref="P17:P18"/>
    <mergeCell ref="Q17:Q18"/>
    <mergeCell ref="B28:B29"/>
    <mergeCell ref="A1:I1"/>
    <mergeCell ref="A2:J2"/>
    <mergeCell ref="B3:J3"/>
    <mergeCell ref="E6:G6"/>
    <mergeCell ref="A7:A12"/>
  </mergeCells>
  <phoneticPr fontId="17" type="noConversion"/>
  <conditionalFormatting sqref="J7:J33 O7:O33">
    <cfRule type="containsText" dxfId="0" priority="3" operator="containsText" text="NG">
      <formula>NOT(ISERROR(SEARCH("NG",J7)))</formula>
    </cfRule>
  </conditionalFormatting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"/>
  <sheetViews>
    <sheetView showGridLines="0" workbookViewId="0">
      <selection activeCell="K29" sqref="K29"/>
    </sheetView>
  </sheetViews>
  <sheetFormatPr defaultColWidth="9" defaultRowHeight="15.75"/>
  <cols>
    <col min="1" max="1" width="15.625" style="147" customWidth="1"/>
    <col min="2" max="2" width="11.125" style="147" customWidth="1"/>
    <col min="3" max="16384" width="9" style="147"/>
  </cols>
  <sheetData>
    <row r="1" spans="1:11" ht="20.100000000000001" customHeight="1">
      <c r="A1" s="146"/>
    </row>
    <row r="2" spans="1:11" s="146" customFormat="1" ht="20.100000000000001" customHeight="1">
      <c r="A2" s="150" t="s">
        <v>145</v>
      </c>
      <c r="B2" s="148" t="s">
        <v>146</v>
      </c>
    </row>
    <row r="3" spans="1:11" ht="20.100000000000001" customHeight="1">
      <c r="A3" s="151" t="s">
        <v>142</v>
      </c>
      <c r="B3" s="154">
        <v>0.995</v>
      </c>
    </row>
    <row r="4" spans="1:11" ht="20.100000000000001" customHeight="1">
      <c r="A4" s="152" t="s">
        <v>103</v>
      </c>
      <c r="B4" s="154">
        <v>1</v>
      </c>
    </row>
    <row r="5" spans="1:11" ht="20.100000000000001" customHeight="1">
      <c r="A5" s="151" t="s">
        <v>100</v>
      </c>
      <c r="B5" s="154">
        <v>1</v>
      </c>
    </row>
    <row r="6" spans="1:11" ht="20.100000000000001" customHeight="1">
      <c r="A6" s="151" t="s">
        <v>101</v>
      </c>
      <c r="B6" s="154">
        <v>1</v>
      </c>
    </row>
    <row r="7" spans="1:11" ht="20.100000000000001" customHeight="1">
      <c r="A7" s="153" t="s">
        <v>102</v>
      </c>
      <c r="B7" s="154">
        <v>1</v>
      </c>
    </row>
    <row r="8" spans="1:11" ht="20.100000000000001" customHeight="1">
      <c r="A8" s="152" t="s">
        <v>143</v>
      </c>
      <c r="B8" s="154">
        <v>1</v>
      </c>
      <c r="K8" s="149"/>
    </row>
    <row r="9" spans="1:11" ht="20.100000000000001" customHeight="1">
      <c r="A9" s="152" t="s">
        <v>144</v>
      </c>
      <c r="B9" s="154">
        <v>1</v>
      </c>
    </row>
    <row r="10" spans="1:11" ht="20.100000000000001" customHeight="1">
      <c r="A10" s="152" t="s">
        <v>155</v>
      </c>
      <c r="B10" s="154">
        <v>1</v>
      </c>
    </row>
  </sheetData>
  <phoneticPr fontId="1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6" master="" otherUserPermission="visible"/>
  <rangeList sheetStid="17" master="" otherUserPermission="visible"/>
  <rangeList sheetStid="18" master="" otherUserPermission="visible"/>
  <rangeList sheetStid="20" master="" otherUserPermission="visible"/>
  <rangeList sheetStid="19" master="" otherUserPermission="visible"/>
  <rangeList sheetStid="21" master="" otherUserPermission="visible"/>
  <rangeList sheetStid="14" master="" otherUserPermission="visible"/>
  <rangeList sheetStid="10" master="" otherUserPermission="visible"/>
  <rangeList sheetStid="11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CN</vt:lpstr>
      <vt:lpstr>N1 (開)</vt:lpstr>
      <vt:lpstr>N1 (收)</vt:lpstr>
      <vt:lpstr>N2 (開)</vt:lpstr>
      <vt:lpstr>N2 (收)</vt:lpstr>
      <vt:lpstr>C1</vt:lpstr>
      <vt:lpstr>C3</vt:lpstr>
      <vt:lpstr>C5</vt:lpstr>
      <vt:lpstr>DP</vt:lpstr>
      <vt:lpstr>舊線</vt:lpstr>
      <vt:lpstr>新線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P22056</dc:creator>
  <cp:lastModifiedBy>劉思妤</cp:lastModifiedBy>
  <cp:lastPrinted>2026-04-17T01:05:00Z</cp:lastPrinted>
  <dcterms:created xsi:type="dcterms:W3CDTF">2012-08-31T05:15:00Z</dcterms:created>
  <dcterms:modified xsi:type="dcterms:W3CDTF">2026-08-13T02:17:33Z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3076-12.1.0.25242</vt:lpwstr>
  </property>
  <property fmtid="{D5CDD505-2E9C-101B-9397-08002B2CF9AE}" pid="3" name="ICV">
    <vt:lpwstr>AC65ACE8FDE84AE9B1F3AE71390D09ED_12</vt:lpwstr>
  </property>
  <property fmtid="{D5CDD505-2E9C-101B-9397-08002B2CF9AE}" pid="4" name="CalculationRule">
    <vt:i4>0</vt:i4>
  </property>
</Properties>
</file>