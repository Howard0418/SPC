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ao_ting.PMR.000\Desktop\"/>
    </mc:Choice>
  </mc:AlternateContent>
  <xr:revisionPtr revIDLastSave="0" documentId="13_ncr:1_{6541B55A-0F3D-45AA-A598-BB25F6BBBBFC}" xr6:coauthVersionLast="47" xr6:coauthVersionMax="47" xr10:uidLastSave="{00000000-0000-0000-0000-000000000000}"/>
  <bookViews>
    <workbookView xWindow="-120" yWindow="-120" windowWidth="29040" windowHeight="15720" firstSheet="1" activeTab="1" xr2:uid="{EE0960AF-E2D9-465B-91C7-1E689036D561}"/>
  </bookViews>
  <sheets>
    <sheet name="SPC review-7月" sheetId="8" state="hidden" r:id="rId1"/>
    <sheet name="新增&amp;調整管制項目-final" sheetId="6" r:id="rId2"/>
  </sheets>
  <definedNames>
    <definedName name="___xlnm.Print_Area">NA()</definedName>
    <definedName name="__xlnm.Print_Area">NA()</definedName>
    <definedName name="_1150807A1">#REF!</definedName>
    <definedName name="_1150810A1">#REF!</definedName>
    <definedName name="_1150810A2">#REF!</definedName>
    <definedName name="_1150901A1">#REF!</definedName>
    <definedName name="_1150907A2">#REF!</definedName>
    <definedName name="_1150908A2">#REF!</definedName>
    <definedName name="_1150910A1">#REF!</definedName>
    <definedName name="_1150923A1">#REF!</definedName>
    <definedName name="_1151001A1">#REF!</definedName>
    <definedName name="_1151005A1">#REF!</definedName>
    <definedName name="_1151008A1">#REF!</definedName>
    <definedName name="_1151012A1">#REF!</definedName>
    <definedName name="_1151014A2">#REF!</definedName>
    <definedName name="_1151015A1">#REF!</definedName>
    <definedName name="_1151015A2">#REF!</definedName>
    <definedName name="_1151101A1">#REF!</definedName>
    <definedName name="_1151101A2">#REF!</definedName>
    <definedName name="_1151102A1">#REF!</definedName>
    <definedName name="_1151103A1">#REF!</definedName>
    <definedName name="_1151104A2">#REF!</definedName>
    <definedName name="_1151106A1">#REF!</definedName>
    <definedName name="_1151109A1">#REF!</definedName>
    <definedName name="_1151110A2">#REF!</definedName>
    <definedName name="_1151112A1">#REF!</definedName>
    <definedName name="_1151113A1">#REF!</definedName>
    <definedName name="_1151113A2">#REF!</definedName>
    <definedName name="_1151201A1">#REF!</definedName>
    <definedName name="_1151201A2">#REF!</definedName>
    <definedName name="_1151203A1">#REF!</definedName>
    <definedName name="_1160502B1">#REF!</definedName>
    <definedName name="_200X">#REF!</definedName>
    <definedName name="_2151113B2">#REF!</definedName>
    <definedName name="_2151113B3">#REF!</definedName>
    <definedName name="_2151113B4">#REF!</definedName>
    <definedName name="_215111B1">#REF!</definedName>
    <definedName name="_215111B2">#REF!</definedName>
    <definedName name="_215111B3_4">#REF!</definedName>
    <definedName name="_2151201B1_2">#REF!</definedName>
    <definedName name="_2151201B3_4">#REF!</definedName>
    <definedName name="_2151201B5_6">#REF!</definedName>
    <definedName name="_2151201B7_8">#REF!</definedName>
    <definedName name="_2151201B9_10">#REF!</definedName>
    <definedName name="_2151202B4">#REF!</definedName>
    <definedName name="_2151202B5">#REF!</definedName>
    <definedName name="_2151205B1_2">#REF!</definedName>
    <definedName name="_2151205B3">#REF!</definedName>
    <definedName name="_2151205B4">#REF!</definedName>
    <definedName name="_2151205B5">#REF!</definedName>
    <definedName name="_2151209B1">#REF!</definedName>
    <definedName name="_2151209B2">#REF!</definedName>
    <definedName name="_2151209B3">#REF!</definedName>
    <definedName name="_2160105B1">#REF!</definedName>
    <definedName name="_2160105B6">#REF!</definedName>
    <definedName name="_2160105B7">#REF!</definedName>
    <definedName name="_2160105B8">#REF!</definedName>
    <definedName name="_2160106B1">#REF!</definedName>
    <definedName name="_2160106B4">#REF!</definedName>
    <definedName name="_2160106B5">#REF!</definedName>
    <definedName name="_2160106B6">#REF!</definedName>
    <definedName name="_2160106B7">#REF!</definedName>
    <definedName name="_2160302B2">#REF!</definedName>
    <definedName name="_2160303B1">#REF!</definedName>
    <definedName name="_2160303B2">#REF!</definedName>
    <definedName name="_2160303B4">#REF!</definedName>
    <definedName name="_2160401B1">#REF!</definedName>
    <definedName name="_2160401B2">#REF!</definedName>
    <definedName name="_2160401B3">#REF!</definedName>
    <definedName name="_2160401B4">#REF!</definedName>
    <definedName name="_2160401B5">#REF!</definedName>
    <definedName name="_2160401B6">#REF!</definedName>
    <definedName name="_2160401B7">#REF!</definedName>
    <definedName name="_2160402B1">#REF!</definedName>
    <definedName name="_2160402B2">#REF!</definedName>
    <definedName name="_2160402B3">#REF!</definedName>
    <definedName name="_2160402B4">#REF!</definedName>
    <definedName name="_2160402B5">#REF!</definedName>
    <definedName name="_2160403B1">#REF!</definedName>
    <definedName name="_2160403B2">#REF!</definedName>
    <definedName name="_2160403B3">#REF!</definedName>
    <definedName name="_2160403B4">#REF!</definedName>
    <definedName name="_2160403B5">#REF!</definedName>
    <definedName name="_xlnm._FilterDatabase" localSheetId="0" hidden="1">'SPC review-7月'!$B$2:$W$78</definedName>
    <definedName name="_xlnm._FilterDatabase" localSheetId="1" hidden="1">'新增&amp;調整管制項目-final'!$A$1:$U$129</definedName>
    <definedName name="_xlnm.Print_Area" localSheetId="0">'SPC review-7月'!$B$1:$W$77</definedName>
    <definedName name="QA">#REF!</definedName>
    <definedName name="QAA">#REF!</definedName>
    <definedName name="T1入6899">#REF!</definedName>
    <definedName name="T1入7077">#REF!</definedName>
    <definedName name="T1出6899">#REF!</definedName>
    <definedName name="T1出分條">#REF!</definedName>
    <definedName name="T1半成品期末">#REF!</definedName>
    <definedName name="T1成品期末">#REF!</definedName>
    <definedName name="T3入6899">#REF!</definedName>
    <definedName name="T3入7077">#REF!</definedName>
    <definedName name="T3出6899">#REF!</definedName>
    <definedName name="T3出分條">#REF!</definedName>
    <definedName name="T3半成品期末">#REF!</definedName>
    <definedName name="T3成品期末">#REF!</definedName>
    <definedName name="加工T1入">#REF!</definedName>
    <definedName name="加工T1出">#REF!</definedName>
    <definedName name="加工T3入">#REF!</definedName>
    <definedName name="加工T3出">#REF!</definedName>
    <definedName name="半成品1">#REF!</definedName>
    <definedName name="半成品2">#REF!</definedName>
    <definedName name="半成品3">#REF!</definedName>
    <definedName name="半成品half">#REF!</definedName>
    <definedName name="白霧異常_1_105.5.4">#REF!</definedName>
    <definedName name="成品1">#REF!</definedName>
    <definedName name="成品2">#REF!</definedName>
    <definedName name="成品3">#REF!</definedName>
    <definedName name="成品half">#REF!</definedName>
    <definedName name="批號">#REF!</definedName>
    <definedName name="查詢區間">#REF!</definedName>
    <definedName name="業務T1">#REF!</definedName>
    <definedName name="業務T3">#REF!</definedName>
    <definedName name="照片50X">#REF!</definedName>
    <definedName name="酸痕異常_1">#REF!</definedName>
    <definedName name="銷退T1">#REF!</definedName>
    <definedName name="銷退T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2" i="8" l="1"/>
  <c r="U71" i="8"/>
  <c r="U70" i="8"/>
  <c r="U65" i="8"/>
  <c r="U64" i="8"/>
  <c r="U63" i="8"/>
  <c r="U62" i="8"/>
  <c r="U57" i="8"/>
  <c r="U56" i="8"/>
  <c r="U54" i="8"/>
  <c r="U53" i="8"/>
  <c r="U51" i="8"/>
  <c r="U49" i="8"/>
  <c r="U46" i="8"/>
  <c r="U22" i="8"/>
  <c r="U4" i="8"/>
  <c r="U5" i="8"/>
  <c r="U6" i="8"/>
  <c r="U7" i="8"/>
  <c r="U8" i="8"/>
  <c r="U9" i="8"/>
  <c r="U10" i="8"/>
  <c r="U11" i="8"/>
  <c r="U12" i="8"/>
  <c r="U13" i="8"/>
  <c r="U14" i="8"/>
  <c r="U3" i="8"/>
  <c r="U19" i="8"/>
  <c r="U24" i="8" l="1"/>
  <c r="U27" i="8"/>
  <c r="U29" i="8"/>
  <c r="U32" i="8"/>
  <c r="U33" i="8"/>
  <c r="U34" i="8"/>
  <c r="U35" i="8"/>
  <c r="U38" i="8"/>
  <c r="U39" i="8"/>
  <c r="U40" i="8"/>
  <c r="N77" i="8"/>
  <c r="N76" i="8"/>
  <c r="N75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4" i="8"/>
  <c r="N53" i="8"/>
  <c r="N52" i="8"/>
  <c r="N51" i="8"/>
  <c r="N50" i="8"/>
  <c r="N49" i="8"/>
  <c r="N48" i="8"/>
  <c r="N47" i="8"/>
  <c r="N46" i="8"/>
  <c r="N45" i="8"/>
  <c r="N44" i="8"/>
  <c r="N43" i="8"/>
  <c r="N40" i="8"/>
  <c r="N39" i="8"/>
  <c r="N38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</calcChain>
</file>

<file path=xl/sharedStrings.xml><?xml version="1.0" encoding="utf-8"?>
<sst xmlns="http://schemas.openxmlformats.org/spreadsheetml/2006/main" count="1745" uniqueCount="386">
  <si>
    <t>管制類別</t>
    <phoneticPr fontId="3" type="noConversion"/>
  </si>
  <si>
    <t>製程線別</t>
    <phoneticPr fontId="3" type="noConversion"/>
  </si>
  <si>
    <t>Chart No</t>
    <phoneticPr fontId="3" type="noConversion"/>
  </si>
  <si>
    <t>Chart Name</t>
    <phoneticPr fontId="3" type="noConversion"/>
  </si>
  <si>
    <t>管制圖種類</t>
    <phoneticPr fontId="3" type="noConversion"/>
  </si>
  <si>
    <t>USL</t>
    <phoneticPr fontId="3" type="noConversion"/>
  </si>
  <si>
    <t>LSL</t>
    <phoneticPr fontId="3" type="noConversion"/>
  </si>
  <si>
    <t>UCL</t>
    <phoneticPr fontId="3" type="noConversion"/>
  </si>
  <si>
    <t>LCL</t>
    <phoneticPr fontId="3" type="noConversion"/>
  </si>
  <si>
    <t>管制界線計算方式</t>
    <phoneticPr fontId="3" type="noConversion"/>
  </si>
  <si>
    <t>OOS件數</t>
    <phoneticPr fontId="3" type="noConversion"/>
  </si>
  <si>
    <t>% OOS</t>
    <phoneticPr fontId="3" type="noConversion"/>
  </si>
  <si>
    <t>OOC件數</t>
    <phoneticPr fontId="3" type="noConversion"/>
  </si>
  <si>
    <t>% OOC</t>
    <phoneticPr fontId="3" type="noConversion"/>
  </si>
  <si>
    <t>Ca</t>
    <phoneticPr fontId="3" type="noConversion"/>
  </si>
  <si>
    <t>工程負責人</t>
    <phoneticPr fontId="3" type="noConversion"/>
  </si>
  <si>
    <t>備註</t>
    <phoneticPr fontId="3" type="noConversion"/>
  </si>
  <si>
    <t>製程管制</t>
    <phoneticPr fontId="3" type="noConversion"/>
  </si>
  <si>
    <t>PT1</t>
  </si>
  <si>
    <t>P-001</t>
    <phoneticPr fontId="3" type="noConversion"/>
  </si>
  <si>
    <t>咬蝕量_PT-01_Top</t>
    <phoneticPr fontId="3" type="noConversion"/>
  </si>
  <si>
    <t>XBAR-S</t>
    <phoneticPr fontId="3" type="noConversion"/>
  </si>
  <si>
    <t xml:space="preserve">Sigma Method </t>
    <phoneticPr fontId="3" type="noConversion"/>
  </si>
  <si>
    <t>張秉祥</t>
    <phoneticPr fontId="3" type="noConversion"/>
  </si>
  <si>
    <t>P-002</t>
    <phoneticPr fontId="3" type="noConversion"/>
  </si>
  <si>
    <t>咬蝕量_PT-01_Bottom</t>
    <phoneticPr fontId="3" type="noConversion"/>
  </si>
  <si>
    <t>張秉祥</t>
  </si>
  <si>
    <t>QE1</t>
  </si>
  <si>
    <t>P-003</t>
    <phoneticPr fontId="3" type="noConversion"/>
  </si>
  <si>
    <t>咬蝕量_QE-01_Top</t>
    <phoneticPr fontId="3" type="noConversion"/>
  </si>
  <si>
    <t>MR Method</t>
    <phoneticPr fontId="3" type="noConversion"/>
  </si>
  <si>
    <t>林昆叡</t>
  </si>
  <si>
    <t>P-004</t>
    <phoneticPr fontId="3" type="noConversion"/>
  </si>
  <si>
    <t>咬蝕量_QE-01_Bottom</t>
    <phoneticPr fontId="3" type="noConversion"/>
  </si>
  <si>
    <t>QE2</t>
    <phoneticPr fontId="3" type="noConversion"/>
  </si>
  <si>
    <t>P-005</t>
    <phoneticPr fontId="3" type="noConversion"/>
  </si>
  <si>
    <t>咬蝕量_QE-02_Top</t>
    <phoneticPr fontId="3" type="noConversion"/>
  </si>
  <si>
    <t>P-006</t>
    <phoneticPr fontId="3" type="noConversion"/>
  </si>
  <si>
    <t>咬蝕量_QE-02_Bottom</t>
    <phoneticPr fontId="3" type="noConversion"/>
  </si>
  <si>
    <t>P-007</t>
    <phoneticPr fontId="3" type="noConversion"/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</si>
  <si>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 xml:space="preserve">_PT-01 </t>
    </r>
    <phoneticPr fontId="3" type="noConversion"/>
  </si>
  <si>
    <t>IX-MR</t>
    <phoneticPr fontId="3" type="noConversion"/>
  </si>
  <si>
    <t>P-008</t>
    <phoneticPr fontId="3" type="noConversion"/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</si>
  <si>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 xml:space="preserve">_QE-01 </t>
    </r>
    <phoneticPr fontId="3" type="noConversion"/>
  </si>
  <si>
    <t>P-009</t>
    <phoneticPr fontId="3" type="noConversion"/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</si>
  <si>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 xml:space="preserve">_QE-02 </t>
    </r>
    <phoneticPr fontId="3" type="noConversion"/>
  </si>
  <si>
    <t>PT2</t>
    <phoneticPr fontId="3" type="noConversion"/>
  </si>
  <si>
    <t>P-010</t>
    <phoneticPr fontId="3" type="noConversion"/>
  </si>
  <si>
    <t>咬蝕量_PT-02_Top</t>
    <phoneticPr fontId="3" type="noConversion"/>
  </si>
  <si>
    <t>P-011</t>
    <phoneticPr fontId="3" type="noConversion"/>
  </si>
  <si>
    <t>咬蝕量_PT-02_Bottom</t>
    <phoneticPr fontId="3" type="noConversion"/>
  </si>
  <si>
    <t>P-012</t>
    <phoneticPr fontId="3" type="noConversion"/>
  </si>
  <si>
    <r>
      <rPr>
        <sz val="11"/>
        <color rgb="FF333333"/>
        <rFont val="微軟正黑體"/>
        <family val="2"/>
        <charset val="136"/>
      </rPr>
      <t>咬蝕速率</t>
    </r>
    <r>
      <rPr>
        <sz val="11"/>
        <color rgb="FF333333"/>
        <rFont val="Arial"/>
        <family val="2"/>
      </rPr>
      <t>_PT-012</t>
    </r>
    <phoneticPr fontId="3" type="noConversion"/>
  </si>
  <si>
    <t>CN</t>
    <phoneticPr fontId="3" type="noConversion"/>
  </si>
  <si>
    <t>Trend chart-CHEM-001</t>
    <phoneticPr fontId="3" type="noConversion"/>
  </si>
  <si>
    <t>-</t>
    <phoneticPr fontId="3" type="noConversion"/>
  </si>
  <si>
    <t>謝清文</t>
    <phoneticPr fontId="3" type="noConversion"/>
  </si>
  <si>
    <t>藥液管制</t>
    <phoneticPr fontId="3" type="noConversion"/>
  </si>
  <si>
    <t>CHEM-0001</t>
    <phoneticPr fontId="3" type="noConversion"/>
  </si>
  <si>
    <t>Trend chart-CHEM-002</t>
    <phoneticPr fontId="3" type="noConversion"/>
  </si>
  <si>
    <t>CHEM-0002</t>
    <phoneticPr fontId="3" type="noConversion"/>
  </si>
  <si>
    <t>N2</t>
    <phoneticPr fontId="3" type="noConversion"/>
  </si>
  <si>
    <t>CHEM-0003</t>
    <phoneticPr fontId="3" type="noConversion"/>
  </si>
  <si>
    <t>CHEM-0004</t>
    <phoneticPr fontId="3" type="noConversion"/>
  </si>
  <si>
    <t>CHEM-0005</t>
    <phoneticPr fontId="3" type="noConversion"/>
  </si>
  <si>
    <r>
      <rPr>
        <sz val="8"/>
        <color rgb="FF35383A"/>
        <rFont val="微軟正黑體"/>
        <family val="2"/>
        <charset val="136"/>
      </rPr>
      <t>化鎳線</t>
    </r>
    <r>
      <rPr>
        <sz val="8"/>
        <color rgb="FF35383A"/>
        <rFont val="Open Sans"/>
        <family val="2"/>
      </rPr>
      <t>-N2-</t>
    </r>
    <r>
      <rPr>
        <sz val="8"/>
        <color rgb="FF35383A"/>
        <rFont val="微軟正黑體"/>
        <family val="2"/>
        <charset val="136"/>
      </rPr>
      <t>表面處理</t>
    </r>
    <r>
      <rPr>
        <sz val="8"/>
        <color rgb="FF35383A"/>
        <rFont val="Open Sans"/>
        <family val="2"/>
      </rPr>
      <t>-pH</t>
    </r>
    <phoneticPr fontId="3" type="noConversion"/>
  </si>
  <si>
    <t>CHEM-0006</t>
    <phoneticPr fontId="3" type="noConversion"/>
  </si>
  <si>
    <t>化鎳線-N2-電荷調整-P200</t>
    <phoneticPr fontId="3" type="noConversion"/>
  </si>
  <si>
    <t>CHEM-0007</t>
    <phoneticPr fontId="3" type="noConversion"/>
  </si>
  <si>
    <t>化鎳線-N2-電荷調整-pH</t>
    <phoneticPr fontId="3" type="noConversion"/>
  </si>
  <si>
    <t>CHEM-0008</t>
    <phoneticPr fontId="3" type="noConversion"/>
  </si>
  <si>
    <r>
      <rPr>
        <sz val="8"/>
        <color rgb="FF35383A"/>
        <rFont val="微軟正黑體"/>
        <family val="2"/>
        <charset val="136"/>
      </rPr>
      <t>化鎳線</t>
    </r>
    <r>
      <rPr>
        <sz val="8"/>
        <color rgb="FF35383A"/>
        <rFont val="Open Sans"/>
        <family val="2"/>
      </rPr>
      <t>-N2-</t>
    </r>
    <r>
      <rPr>
        <sz val="8"/>
        <color rgb="FF35383A"/>
        <rFont val="微軟正黑體"/>
        <family val="2"/>
        <charset val="136"/>
      </rPr>
      <t>預浸</t>
    </r>
    <r>
      <rPr>
        <sz val="8"/>
        <color rgb="FF35383A"/>
        <rFont val="Open Sans"/>
        <family val="2"/>
      </rPr>
      <t>-P300</t>
    </r>
    <phoneticPr fontId="3" type="noConversion"/>
  </si>
  <si>
    <t>CHEM-0009</t>
    <phoneticPr fontId="3" type="noConversion"/>
  </si>
  <si>
    <t>化鎳線-N2-催化-P400</t>
    <phoneticPr fontId="3" type="noConversion"/>
  </si>
  <si>
    <t>Trend chart-CHEM-003</t>
    <phoneticPr fontId="3" type="noConversion"/>
  </si>
  <si>
    <t>化鎳線-N2-催化-SnCl2</t>
    <phoneticPr fontId="3" type="noConversion"/>
  </si>
  <si>
    <t>CHEM-0010</t>
    <phoneticPr fontId="3" type="noConversion"/>
  </si>
  <si>
    <t>化鎳線-N2-促進-P500A</t>
    <phoneticPr fontId="3" type="noConversion"/>
  </si>
  <si>
    <t>CHEM-0011</t>
    <phoneticPr fontId="3" type="noConversion"/>
  </si>
  <si>
    <r>
      <rPr>
        <sz val="8"/>
        <color rgb="FF35383A"/>
        <rFont val="微軟正黑體"/>
        <family val="2"/>
        <charset val="136"/>
      </rPr>
      <t>化鎳線</t>
    </r>
    <r>
      <rPr>
        <sz val="8"/>
        <color rgb="FF35383A"/>
        <rFont val="Open Sans"/>
        <family val="2"/>
      </rPr>
      <t>-N2-</t>
    </r>
    <r>
      <rPr>
        <sz val="8"/>
        <color rgb="FF35383A"/>
        <rFont val="微軟正黑體"/>
        <family val="2"/>
        <charset val="136"/>
      </rPr>
      <t>促進</t>
    </r>
    <r>
      <rPr>
        <sz val="8"/>
        <color rgb="FF35383A"/>
        <rFont val="Open Sans"/>
        <family val="2"/>
      </rPr>
      <t>-SnCl2</t>
    </r>
    <phoneticPr fontId="3" type="noConversion"/>
  </si>
  <si>
    <t>CHEM-0012</t>
    <phoneticPr fontId="3" type="noConversion"/>
  </si>
  <si>
    <t>化鎳線-N2-化鎳-Ni</t>
    <phoneticPr fontId="3" type="noConversion"/>
  </si>
  <si>
    <t>Trend chart-CHEM-004</t>
    <phoneticPr fontId="3" type="noConversion"/>
  </si>
  <si>
    <t>Trend chart-CHEM-005</t>
    <phoneticPr fontId="3" type="noConversion"/>
  </si>
  <si>
    <t>CHEM-0013</t>
    <phoneticPr fontId="3" type="noConversion"/>
  </si>
  <si>
    <t>化鎳線-N2-化鎳-pH</t>
    <phoneticPr fontId="3" type="noConversion"/>
  </si>
  <si>
    <t>C1</t>
    <phoneticPr fontId="3" type="noConversion"/>
  </si>
  <si>
    <t>CHEM-0014</t>
    <phoneticPr fontId="3" type="noConversion"/>
  </si>
  <si>
    <t>CHEM-0015</t>
    <phoneticPr fontId="3" type="noConversion"/>
  </si>
  <si>
    <t>鍍銅線-C1-銅1-CuSO4‧5H2O</t>
    <phoneticPr fontId="3" type="noConversion"/>
  </si>
  <si>
    <t>CHEM-0016</t>
    <phoneticPr fontId="3" type="noConversion"/>
  </si>
  <si>
    <t>鍍銅線-C1-銅1-氯離子</t>
    <phoneticPr fontId="3" type="noConversion"/>
  </si>
  <si>
    <t>Trend chart-CHEM-006</t>
    <phoneticPr fontId="3" type="noConversion"/>
  </si>
  <si>
    <t>鍍銅線-C1-銅1-S RF-A</t>
    <phoneticPr fontId="3" type="noConversion"/>
  </si>
  <si>
    <t>Trend chart-CHEM-007</t>
    <phoneticPr fontId="3" type="noConversion"/>
  </si>
  <si>
    <t>鍍銅線-C1-銅1-S RF-B</t>
    <phoneticPr fontId="3" type="noConversion"/>
  </si>
  <si>
    <t>CHEM-0017</t>
    <phoneticPr fontId="3" type="noConversion"/>
  </si>
  <si>
    <t>CHEM-0018</t>
    <phoneticPr fontId="3" type="noConversion"/>
  </si>
  <si>
    <r>
      <rPr>
        <sz val="8"/>
        <color rgb="FF35383A"/>
        <rFont val="微軟正黑體"/>
        <family val="2"/>
        <charset val="136"/>
      </rPr>
      <t>鍍銅線</t>
    </r>
    <r>
      <rPr>
        <sz val="8"/>
        <color rgb="FF35383A"/>
        <rFont val="Open Sans"/>
        <family val="2"/>
      </rPr>
      <t>-C1-</t>
    </r>
    <r>
      <rPr>
        <sz val="8"/>
        <color rgb="FF35383A"/>
        <rFont val="微軟正黑體"/>
        <family val="2"/>
        <charset val="136"/>
      </rPr>
      <t>銅</t>
    </r>
    <r>
      <rPr>
        <sz val="8"/>
        <color rgb="FF35383A"/>
        <rFont val="Open Sans"/>
        <family val="2"/>
      </rPr>
      <t>2-CuSO4</t>
    </r>
    <r>
      <rPr>
        <sz val="8"/>
        <color rgb="FF35383A"/>
        <rFont val="微軟正黑體"/>
        <family val="2"/>
        <charset val="136"/>
      </rPr>
      <t>‧</t>
    </r>
    <r>
      <rPr>
        <sz val="8"/>
        <color rgb="FF35383A"/>
        <rFont val="Open Sans"/>
        <family val="2"/>
      </rPr>
      <t>5H2O</t>
    </r>
    <phoneticPr fontId="3" type="noConversion"/>
  </si>
  <si>
    <t>CHEM-0019</t>
    <phoneticPr fontId="3" type="noConversion"/>
  </si>
  <si>
    <t>鍍銅線-C1-銅2-氯離子</t>
    <phoneticPr fontId="3" type="noConversion"/>
  </si>
  <si>
    <t>Trend chart-CHEM-008</t>
    <phoneticPr fontId="3" type="noConversion"/>
  </si>
  <si>
    <t>鍍銅線-C1-銅2-S RF-A</t>
    <phoneticPr fontId="3" type="noConversion"/>
  </si>
  <si>
    <t>Trend chart-CHEM-009</t>
    <phoneticPr fontId="3" type="noConversion"/>
  </si>
  <si>
    <t>鍍銅線-C1-銅2-S RF-B</t>
    <phoneticPr fontId="3" type="noConversion"/>
  </si>
  <si>
    <t>PT1</t>
    <phoneticPr fontId="3" type="noConversion"/>
  </si>
  <si>
    <t>CHEM-0020</t>
    <phoneticPr fontId="3" type="noConversion"/>
  </si>
  <si>
    <t>Trend chart-CHEM-010</t>
    <phoneticPr fontId="3" type="noConversion"/>
  </si>
  <si>
    <t>粗化線 (PT)-粗化-銅離子</t>
    <phoneticPr fontId="3" type="noConversion"/>
  </si>
  <si>
    <t>Trend chart-CHEM-011</t>
    <phoneticPr fontId="3" type="noConversion"/>
  </si>
  <si>
    <t>粗化線 (PT)-粗化-比重</t>
    <phoneticPr fontId="3" type="noConversion"/>
  </si>
  <si>
    <t>CHEM-0021</t>
    <phoneticPr fontId="3" type="noConversion"/>
  </si>
  <si>
    <t>粗化線 (PT)-鹽酸洗-鹽酸</t>
    <phoneticPr fontId="3" type="noConversion"/>
  </si>
  <si>
    <t>Trend chart-CHEM-012</t>
    <phoneticPr fontId="3" type="noConversion"/>
  </si>
  <si>
    <t>粗化線 (PT)-鹽酸洗-銅離子</t>
    <phoneticPr fontId="3" type="noConversion"/>
  </si>
  <si>
    <t>Trend chart-CHEM-013</t>
    <phoneticPr fontId="3" type="noConversion"/>
  </si>
  <si>
    <t>粗化線 (PT)-抗氧化-PH</t>
    <phoneticPr fontId="3" type="noConversion"/>
  </si>
  <si>
    <t>DV1</t>
    <phoneticPr fontId="3" type="noConversion"/>
  </si>
  <si>
    <t>CHEM-0022</t>
    <phoneticPr fontId="3" type="noConversion"/>
  </si>
  <si>
    <r>
      <rPr>
        <sz val="8"/>
        <color rgb="FF35383A"/>
        <rFont val="微軟正黑體"/>
        <family val="2"/>
        <charset val="136"/>
      </rPr>
      <t>顯影線</t>
    </r>
    <r>
      <rPr>
        <sz val="8"/>
        <color rgb="FF35383A"/>
        <rFont val="Open Sans"/>
        <family val="2"/>
      </rPr>
      <t xml:space="preserve"> (DV)-</t>
    </r>
    <r>
      <rPr>
        <sz val="8"/>
        <color rgb="FF35383A"/>
        <rFont val="微軟正黑體"/>
        <family val="2"/>
        <charset val="136"/>
      </rPr>
      <t>顯影</t>
    </r>
    <r>
      <rPr>
        <sz val="8"/>
        <color rgb="FF35383A"/>
        <rFont val="Open Sans"/>
        <family val="2"/>
      </rPr>
      <t>-</t>
    </r>
    <r>
      <rPr>
        <sz val="8"/>
        <color rgb="FF35383A"/>
        <rFont val="微軟正黑體"/>
        <family val="2"/>
        <charset val="136"/>
      </rPr>
      <t>碳酸鈉</t>
    </r>
    <phoneticPr fontId="3" type="noConversion"/>
  </si>
  <si>
    <t>Trend chart-CHEM-014</t>
    <phoneticPr fontId="3" type="noConversion"/>
  </si>
  <si>
    <t>顯影線 (DV)-顯影-PH</t>
    <phoneticPr fontId="3" type="noConversion"/>
  </si>
  <si>
    <t>CHEM-0024</t>
    <phoneticPr fontId="3" type="noConversion"/>
  </si>
  <si>
    <r>
      <rPr>
        <sz val="8"/>
        <color rgb="FF35383A"/>
        <rFont val="微軟正黑體"/>
        <family val="2"/>
        <charset val="136"/>
      </rPr>
      <t>顯影線</t>
    </r>
    <r>
      <rPr>
        <sz val="8"/>
        <color rgb="FF35383A"/>
        <rFont val="Open Sans"/>
        <family val="2"/>
      </rPr>
      <t xml:space="preserve"> (DV)-</t>
    </r>
    <r>
      <rPr>
        <sz val="8"/>
        <color rgb="FF35383A"/>
        <rFont val="微軟正黑體"/>
        <family val="2"/>
        <charset val="136"/>
      </rPr>
      <t>添加桶</t>
    </r>
    <r>
      <rPr>
        <sz val="8"/>
        <color rgb="FF35383A"/>
        <rFont val="Open Sans"/>
        <family val="2"/>
      </rPr>
      <t>-</t>
    </r>
    <r>
      <rPr>
        <sz val="8"/>
        <color rgb="FF35383A"/>
        <rFont val="微軟正黑體"/>
        <family val="2"/>
        <charset val="136"/>
      </rPr>
      <t>碳酸鈉</t>
    </r>
    <phoneticPr fontId="3" type="noConversion"/>
  </si>
  <si>
    <t>Trend chart-CHEM-015</t>
    <phoneticPr fontId="3" type="noConversion"/>
  </si>
  <si>
    <r>
      <rPr>
        <sz val="8"/>
        <color rgb="FF35383A"/>
        <rFont val="微軟正黑體"/>
        <family val="2"/>
        <charset val="136"/>
      </rPr>
      <t>顯影線</t>
    </r>
    <r>
      <rPr>
        <sz val="8"/>
        <color rgb="FF35383A"/>
        <rFont val="Open Sans"/>
        <family val="2"/>
      </rPr>
      <t xml:space="preserve"> (DV)-</t>
    </r>
    <r>
      <rPr>
        <sz val="8"/>
        <color rgb="FF35383A"/>
        <rFont val="微軟正黑體"/>
        <family val="2"/>
        <charset val="136"/>
      </rPr>
      <t>添加桶</t>
    </r>
    <r>
      <rPr>
        <sz val="8"/>
        <color rgb="FF35383A"/>
        <rFont val="Open Sans"/>
        <family val="2"/>
      </rPr>
      <t>-PH</t>
    </r>
    <phoneticPr fontId="3" type="noConversion"/>
  </si>
  <si>
    <t>ST1</t>
  </si>
  <si>
    <t>CHEM-0025</t>
    <phoneticPr fontId="3" type="noConversion"/>
  </si>
  <si>
    <t>林昆叡</t>
    <phoneticPr fontId="3" type="noConversion"/>
  </si>
  <si>
    <t>CHEM-0026</t>
    <phoneticPr fontId="3" type="noConversion"/>
  </si>
  <si>
    <t>CHEM-0027</t>
    <phoneticPr fontId="3" type="noConversion"/>
  </si>
  <si>
    <t>ST1</t>
    <phoneticPr fontId="3" type="noConversion"/>
  </si>
  <si>
    <t>CHEM-0041</t>
    <phoneticPr fontId="3" type="noConversion"/>
  </si>
  <si>
    <t>CHEM-0028</t>
    <phoneticPr fontId="3" type="noConversion"/>
  </si>
  <si>
    <t>Trend chart-CHEM-016</t>
    <phoneticPr fontId="3" type="noConversion"/>
  </si>
  <si>
    <t>快蝕線 (QE)-蝕刻-銅離子</t>
    <phoneticPr fontId="3" type="noConversion"/>
  </si>
  <si>
    <t>Trend chart-CHEM-017</t>
    <phoneticPr fontId="3" type="noConversion"/>
  </si>
  <si>
    <t>快蝕線 (QE)-蝕刻-雙氧水</t>
    <phoneticPr fontId="3" type="noConversion"/>
  </si>
  <si>
    <t>CHEM-0029</t>
    <phoneticPr fontId="3" type="noConversion"/>
  </si>
  <si>
    <t>Trend chart-CHEM-018</t>
    <phoneticPr fontId="3" type="noConversion"/>
  </si>
  <si>
    <t>快蝕線 (QE)-抗氧化-PH</t>
    <phoneticPr fontId="3" type="noConversion"/>
  </si>
  <si>
    <t>DP</t>
    <phoneticPr fontId="3" type="noConversion"/>
  </si>
  <si>
    <t>CHEM-0030</t>
    <phoneticPr fontId="3" type="noConversion"/>
  </si>
  <si>
    <t>范士誠</t>
    <phoneticPr fontId="3" type="noConversion"/>
  </si>
  <si>
    <t>CHEM-0031</t>
    <phoneticPr fontId="3" type="noConversion"/>
  </si>
  <si>
    <r>
      <rPr>
        <sz val="8"/>
        <color rgb="FF35383A"/>
        <rFont val="微軟正黑體"/>
        <family val="2"/>
        <charset val="136"/>
      </rPr>
      <t>除鈀線</t>
    </r>
    <r>
      <rPr>
        <sz val="8"/>
        <color rgb="FF35383A"/>
        <rFont val="Open Sans"/>
        <family val="2"/>
      </rPr>
      <t>(DP)-SPS</t>
    </r>
    <phoneticPr fontId="3" type="noConversion"/>
  </si>
  <si>
    <t>CHEM-0032</t>
    <phoneticPr fontId="3" type="noConversion"/>
  </si>
  <si>
    <r>
      <rPr>
        <sz val="8"/>
        <color rgb="FF35383A"/>
        <rFont val="微軟正黑體"/>
        <family val="2"/>
        <charset val="136"/>
      </rPr>
      <t>除鈀線</t>
    </r>
    <r>
      <rPr>
        <sz val="8"/>
        <color rgb="FF35383A"/>
        <rFont val="Open Sans"/>
        <family val="2"/>
      </rPr>
      <t>(DP)-PH</t>
    </r>
    <phoneticPr fontId="3" type="noConversion"/>
  </si>
  <si>
    <t>CHEM-0033</t>
    <phoneticPr fontId="3" type="noConversion"/>
  </si>
  <si>
    <t>CHEM-0034</t>
    <phoneticPr fontId="3" type="noConversion"/>
  </si>
  <si>
    <t>Trend chart-CHEM-019</t>
    <phoneticPr fontId="3" type="noConversion"/>
  </si>
  <si>
    <r>
      <rPr>
        <sz val="8"/>
        <color rgb="FF35383A"/>
        <rFont val="微軟正黑體"/>
        <family val="2"/>
        <charset val="136"/>
      </rPr>
      <t>除鈀線</t>
    </r>
    <r>
      <rPr>
        <sz val="8"/>
        <color rgb="FF35383A"/>
        <rFont val="Open Sans"/>
        <family val="2"/>
      </rPr>
      <t>(DP)-</t>
    </r>
    <r>
      <rPr>
        <sz val="8"/>
        <color rgb="FF35383A"/>
        <rFont val="微軟正黑體"/>
        <family val="2"/>
        <charset val="136"/>
      </rPr>
      <t>抗氧化</t>
    </r>
    <r>
      <rPr>
        <sz val="8"/>
        <color rgb="FF35383A"/>
        <rFont val="Open Sans"/>
        <family val="2"/>
      </rPr>
      <t>-PH</t>
    </r>
    <phoneticPr fontId="3" type="noConversion"/>
  </si>
  <si>
    <t>C3</t>
    <phoneticPr fontId="3" type="noConversion"/>
  </si>
  <si>
    <t>CHEM-0036</t>
    <phoneticPr fontId="3" type="noConversion"/>
  </si>
  <si>
    <r>
      <rPr>
        <sz val="8"/>
        <color rgb="FF35383A"/>
        <rFont val="微軟正黑體"/>
        <family val="2"/>
        <charset val="136"/>
      </rPr>
      <t>鍍銅線</t>
    </r>
    <r>
      <rPr>
        <sz val="8"/>
        <color rgb="FF35383A"/>
        <rFont val="Open Sans"/>
        <family val="2"/>
      </rPr>
      <t xml:space="preserve"> (CP)-</t>
    </r>
    <r>
      <rPr>
        <sz val="8"/>
        <color rgb="FF35383A"/>
        <rFont val="微軟正黑體"/>
        <family val="2"/>
        <charset val="136"/>
      </rPr>
      <t>清潔槽</t>
    </r>
    <r>
      <rPr>
        <sz val="8"/>
        <color rgb="FF35383A"/>
        <rFont val="Open Sans"/>
        <family val="2"/>
      </rPr>
      <t>-</t>
    </r>
    <r>
      <rPr>
        <sz val="8"/>
        <color rgb="FF35383A"/>
        <rFont val="微軟正黑體"/>
        <family val="2"/>
        <charset val="136"/>
      </rPr>
      <t>硫酸</t>
    </r>
    <phoneticPr fontId="3" type="noConversion"/>
  </si>
  <si>
    <t>陳元凱</t>
    <phoneticPr fontId="3" type="noConversion"/>
  </si>
  <si>
    <t>陳元凱</t>
  </si>
  <si>
    <t>C3</t>
  </si>
  <si>
    <t>CHEM-0037</t>
    <phoneticPr fontId="3" type="noConversion"/>
  </si>
  <si>
    <r>
      <rPr>
        <sz val="8"/>
        <color rgb="FF35383A"/>
        <rFont val="微軟正黑體"/>
        <family val="2"/>
        <charset val="136"/>
      </rPr>
      <t>鍍銅線</t>
    </r>
    <r>
      <rPr>
        <sz val="8"/>
        <color rgb="FF35383A"/>
        <rFont val="Open Sans"/>
        <family val="2"/>
      </rPr>
      <t xml:space="preserve"> (CP)-</t>
    </r>
    <r>
      <rPr>
        <sz val="8"/>
        <color rgb="FF35383A"/>
        <rFont val="微軟正黑體"/>
        <family val="2"/>
        <charset val="136"/>
      </rPr>
      <t>酸浸槽</t>
    </r>
    <r>
      <rPr>
        <sz val="8"/>
        <color rgb="FF35383A"/>
        <rFont val="Open Sans"/>
        <family val="2"/>
      </rPr>
      <t>-</t>
    </r>
    <r>
      <rPr>
        <sz val="8"/>
        <color rgb="FF35383A"/>
        <rFont val="微軟正黑體"/>
        <family val="2"/>
        <charset val="136"/>
      </rPr>
      <t>硫酸</t>
    </r>
    <phoneticPr fontId="3" type="noConversion"/>
  </si>
  <si>
    <t>CHEM-0038</t>
    <phoneticPr fontId="3" type="noConversion"/>
  </si>
  <si>
    <t>鍍銅線 (CP)-鍍銅槽-硫酸</t>
    <phoneticPr fontId="3" type="noConversion"/>
  </si>
  <si>
    <t>CHEM-0039</t>
    <phoneticPr fontId="3" type="noConversion"/>
  </si>
  <si>
    <t>CHEM-0040</t>
    <phoneticPr fontId="3" type="noConversion"/>
  </si>
  <si>
    <t>鍍銅線 (CP)-鍍銅槽-氯離子</t>
    <phoneticPr fontId="3" type="noConversion"/>
  </si>
  <si>
    <t>Trend chart-CHEM-023</t>
    <phoneticPr fontId="3" type="noConversion"/>
  </si>
  <si>
    <t>鍍銅線 (CP)-鍍銅槽-SF</t>
    <phoneticPr fontId="3" type="noConversion"/>
  </si>
  <si>
    <t>Trend chart-CHEM-024</t>
    <phoneticPr fontId="3" type="noConversion"/>
  </si>
  <si>
    <t>鍍銅線 (CP)-鍍銅槽-STB</t>
    <phoneticPr fontId="3" type="noConversion"/>
  </si>
  <si>
    <t>Trend chart-CHEM-025</t>
    <phoneticPr fontId="3" type="noConversion"/>
  </si>
  <si>
    <t>鍍銅線 (CP)-CP剝掛 硫酸</t>
    <phoneticPr fontId="3" type="noConversion"/>
  </si>
  <si>
    <t>Trend chart-CHEM-026</t>
    <phoneticPr fontId="3" type="noConversion"/>
  </si>
  <si>
    <t>鍍銅線 (CP)-剝掛槽-雙氧水</t>
    <phoneticPr fontId="3" type="noConversion"/>
  </si>
  <si>
    <t>Trend chart-CHEM-027</t>
    <phoneticPr fontId="3" type="noConversion"/>
  </si>
  <si>
    <t>鍍銅線 (CP)-剝掛槽-銅離子</t>
    <phoneticPr fontId="3" type="noConversion"/>
  </si>
  <si>
    <t>規格管制</t>
    <phoneticPr fontId="3" type="noConversion"/>
  </si>
  <si>
    <t>-</t>
  </si>
  <si>
    <t>製程性能指標</t>
    <phoneticPr fontId="3" type="noConversion"/>
  </si>
  <si>
    <t>註:趨勢圖不管控製程性能指標</t>
    <phoneticPr fontId="3" type="noConversion"/>
  </si>
  <si>
    <t>資料筆數</t>
    <phoneticPr fontId="3" type="noConversion"/>
  </si>
  <si>
    <t>Cp/Pp</t>
    <phoneticPr fontId="3" type="noConversion"/>
  </si>
  <si>
    <t>Cpk/Ppk</t>
    <phoneticPr fontId="3" type="noConversion"/>
  </si>
  <si>
    <t>新增</t>
    <phoneticPr fontId="3" type="noConversion"/>
  </si>
  <si>
    <t>非關鍵參數,低風險項目</t>
    <phoneticPr fontId="3" type="noConversion"/>
  </si>
  <si>
    <r>
      <t xml:space="preserve">ECR-2607002 </t>
    </r>
    <r>
      <rPr>
        <sz val="10"/>
        <color rgb="FFFF0000"/>
        <rFont val="Microsoft JhengHei"/>
        <family val="2"/>
      </rPr>
      <t>不卡控</t>
    </r>
    <r>
      <rPr>
        <sz val="10"/>
        <color rgb="FFFF0000"/>
        <rFont val="Arial"/>
        <family val="2"/>
      </rPr>
      <t xml:space="preserve"> 2026/07~2026/9/30</t>
    </r>
    <phoneticPr fontId="3" type="noConversion"/>
  </si>
  <si>
    <t>單邊規格</t>
    <phoneticPr fontId="3" type="noConversion"/>
  </si>
  <si>
    <t>此為影響鎳厚的關鍵參數</t>
    <phoneticPr fontId="3" type="noConversion"/>
  </si>
  <si>
    <t>非關鍵參數</t>
    <phoneticPr fontId="3" type="noConversion"/>
  </si>
  <si>
    <r>
      <rPr>
        <strike/>
        <sz val="10"/>
        <color rgb="FFFF0000"/>
        <rFont val="Microsoft JhengHei"/>
        <family val="2"/>
        <charset val="136"/>
      </rPr>
      <t xml:space="preserve">14 </t>
    </r>
    <r>
      <rPr>
        <u/>
        <sz val="10"/>
        <color rgb="FFFF0000"/>
        <rFont val="Microsoft JhengHei"/>
        <family val="2"/>
        <charset val="136"/>
      </rPr>
      <t>15</t>
    </r>
    <phoneticPr fontId="3" type="noConversion"/>
  </si>
  <si>
    <r>
      <rPr>
        <strike/>
        <sz val="10"/>
        <color rgb="FFFF0000"/>
        <rFont val="Microsoft JhengHei"/>
        <family val="2"/>
        <charset val="136"/>
      </rPr>
      <t xml:space="preserve">10 </t>
    </r>
    <r>
      <rPr>
        <u/>
        <sz val="10"/>
        <color rgb="FFFF0000"/>
        <rFont val="Microsoft JhengHei"/>
        <family val="2"/>
        <charset val="136"/>
      </rPr>
      <t>13</t>
    </r>
    <phoneticPr fontId="3" type="noConversion"/>
  </si>
  <si>
    <t>驗證廠商與廠內化驗存在1%的機差，故將採用單向公差，且將中心值由原本12%上調至13%</t>
    <phoneticPr fontId="3" type="noConversion"/>
  </si>
  <si>
    <t>CHEM-0042</t>
    <phoneticPr fontId="3" type="noConversion"/>
  </si>
  <si>
    <r>
      <rPr>
        <strike/>
        <sz val="10"/>
        <color rgb="FFFF0000"/>
        <rFont val="Microsoft JhengHei"/>
        <family val="2"/>
        <charset val="136"/>
      </rPr>
      <t xml:space="preserve">0.8 </t>
    </r>
    <r>
      <rPr>
        <u/>
        <sz val="10"/>
        <color rgb="FFFF0000"/>
        <rFont val="Microsoft JhengHei"/>
        <family val="2"/>
        <charset val="136"/>
      </rPr>
      <t>1.0</t>
    </r>
    <phoneticPr fontId="3" type="noConversion"/>
  </si>
  <si>
    <t>非關鍵參數,低風險項目</t>
  </si>
  <si>
    <t>N1</t>
    <phoneticPr fontId="3" type="noConversion"/>
  </si>
  <si>
    <t>化鎳線-N1-表面處理-NKH</t>
    <phoneticPr fontId="3" type="noConversion"/>
  </si>
  <si>
    <t>暫不建檔,待藥液更新</t>
    <phoneticPr fontId="3" type="noConversion"/>
  </si>
  <si>
    <t>N1</t>
  </si>
  <si>
    <r>
      <rPr>
        <sz val="8"/>
        <color rgb="FF35383A"/>
        <rFont val="微軟正黑體"/>
        <family val="2"/>
        <charset val="136"/>
      </rPr>
      <t>化鎳線</t>
    </r>
    <r>
      <rPr>
        <sz val="8"/>
        <color rgb="FF35383A"/>
        <rFont val="Open Sans"/>
        <family val="2"/>
      </rPr>
      <t>-N1-</t>
    </r>
    <r>
      <rPr>
        <sz val="8"/>
        <color rgb="FF35383A"/>
        <rFont val="微軟正黑體"/>
        <family val="2"/>
        <charset val="136"/>
      </rPr>
      <t>表面處理</t>
    </r>
    <r>
      <rPr>
        <sz val="8"/>
        <color rgb="FF35383A"/>
        <rFont val="Open Sans"/>
        <family val="2"/>
      </rPr>
      <t>-</t>
    </r>
    <r>
      <rPr>
        <sz val="8"/>
        <rFont val="Open Sans"/>
        <family val="2"/>
      </rPr>
      <t>NCO</t>
    </r>
    <phoneticPr fontId="3" type="noConversion"/>
  </si>
  <si>
    <t>暫不建檔,待藥液更新</t>
  </si>
  <si>
    <r>
      <rPr>
        <sz val="8"/>
        <color rgb="FF35383A"/>
        <rFont val="微軟正黑體"/>
        <family val="2"/>
        <charset val="136"/>
      </rPr>
      <t>化鎳線</t>
    </r>
    <r>
      <rPr>
        <sz val="8"/>
        <color rgb="FF35383A"/>
        <rFont val="Open Sans"/>
        <family val="2"/>
      </rPr>
      <t>-N1-</t>
    </r>
    <r>
      <rPr>
        <sz val="8"/>
        <color rgb="FF35383A"/>
        <rFont val="微軟正黑體"/>
        <family val="2"/>
        <charset val="136"/>
      </rPr>
      <t>表面處理</t>
    </r>
    <r>
      <rPr>
        <sz val="8"/>
        <color rgb="FF35383A"/>
        <rFont val="Open Sans"/>
        <family val="2"/>
      </rPr>
      <t>-pH</t>
    </r>
    <phoneticPr fontId="3" type="noConversion"/>
  </si>
  <si>
    <t>化鎳線-N1-電荷調整-P200</t>
    <phoneticPr fontId="3" type="noConversion"/>
  </si>
  <si>
    <t>化鎳線-N1-電荷調整-pH</t>
    <phoneticPr fontId="3" type="noConversion"/>
  </si>
  <si>
    <r>
      <rPr>
        <sz val="8"/>
        <color rgb="FF35383A"/>
        <rFont val="微軟正黑體"/>
        <family val="2"/>
        <charset val="136"/>
      </rPr>
      <t>化鎳線</t>
    </r>
    <r>
      <rPr>
        <sz val="8"/>
        <color rgb="FF35383A"/>
        <rFont val="Open Sans"/>
        <family val="2"/>
      </rPr>
      <t>-N1-</t>
    </r>
    <r>
      <rPr>
        <sz val="8"/>
        <color rgb="FF35383A"/>
        <rFont val="微軟正黑體"/>
        <family val="2"/>
        <charset val="136"/>
      </rPr>
      <t>預浸</t>
    </r>
    <r>
      <rPr>
        <sz val="8"/>
        <color rgb="FF35383A"/>
        <rFont val="Open Sans"/>
        <family val="2"/>
      </rPr>
      <t>-Normality</t>
    </r>
    <phoneticPr fontId="3" type="noConversion"/>
  </si>
  <si>
    <r>
      <rPr>
        <sz val="8"/>
        <color rgb="FF35383A"/>
        <rFont val="微軟正黑體"/>
        <family val="2"/>
        <charset val="136"/>
      </rPr>
      <t>化鎳線</t>
    </r>
    <r>
      <rPr>
        <sz val="8"/>
        <color rgb="FF35383A"/>
        <rFont val="Open Sans"/>
        <family val="2"/>
      </rPr>
      <t>-N1-</t>
    </r>
    <r>
      <rPr>
        <sz val="8"/>
        <color rgb="FF35383A"/>
        <rFont val="微軟正黑體"/>
        <family val="2"/>
        <charset val="136"/>
      </rPr>
      <t>預浸</t>
    </r>
    <r>
      <rPr>
        <sz val="8"/>
        <color rgb="FF35383A"/>
        <rFont val="Open Sans"/>
        <family val="2"/>
      </rPr>
      <t>-</t>
    </r>
    <r>
      <rPr>
        <sz val="8"/>
        <color rgb="FF35383A"/>
        <rFont val="Microsoft JhengHei"/>
        <family val="2"/>
        <charset val="136"/>
      </rPr>
      <t>Density</t>
    </r>
    <phoneticPr fontId="3" type="noConversion"/>
  </si>
  <si>
    <t>化鎳線-N1-催化-Normality</t>
    <phoneticPr fontId="3" type="noConversion"/>
  </si>
  <si>
    <t>化鎳線-N1-催化-SnCl2</t>
    <phoneticPr fontId="3" type="noConversion"/>
  </si>
  <si>
    <t>化鎳線-N1-催化-AC-RF</t>
    <phoneticPr fontId="3" type="noConversion"/>
  </si>
  <si>
    <t>化鎳線-N1-促進-P500A</t>
    <phoneticPr fontId="3" type="noConversion"/>
  </si>
  <si>
    <r>
      <rPr>
        <sz val="8"/>
        <color rgb="FF35383A"/>
        <rFont val="微軟正黑體"/>
        <family val="2"/>
        <charset val="136"/>
      </rPr>
      <t>化鎳線</t>
    </r>
    <r>
      <rPr>
        <sz val="8"/>
        <color rgb="FF35383A"/>
        <rFont val="Open Sans"/>
        <family val="2"/>
      </rPr>
      <t>-N1-</t>
    </r>
    <r>
      <rPr>
        <sz val="8"/>
        <color rgb="FF35383A"/>
        <rFont val="微軟正黑體"/>
        <family val="2"/>
        <charset val="136"/>
      </rPr>
      <t>促進</t>
    </r>
    <r>
      <rPr>
        <sz val="8"/>
        <color rgb="FF35383A"/>
        <rFont val="Open Sans"/>
        <family val="2"/>
      </rPr>
      <t>-SnCl2</t>
    </r>
    <phoneticPr fontId="3" type="noConversion"/>
  </si>
  <si>
    <t>化鎳線-N1-化鎳-Ni</t>
    <phoneticPr fontId="3" type="noConversion"/>
  </si>
  <si>
    <t>化鎳線-N1-化鎳-Na(H2PO2)H2O</t>
    <phoneticPr fontId="3" type="noConversion"/>
  </si>
  <si>
    <t>化鎳線-N1-化鎳-Na2HPO3・5H2O</t>
    <phoneticPr fontId="3" type="noConversion"/>
  </si>
  <si>
    <t>化鎳線-N1-化鎳-pH</t>
    <phoneticPr fontId="3" type="noConversion"/>
  </si>
  <si>
    <t>C5</t>
    <phoneticPr fontId="3" type="noConversion"/>
  </si>
  <si>
    <t>CHEM-0043</t>
    <phoneticPr fontId="3" type="noConversion"/>
  </si>
  <si>
    <t>新增</t>
  </si>
  <si>
    <t>C5</t>
  </si>
  <si>
    <t>CHEM-0044</t>
    <phoneticPr fontId="3" type="noConversion"/>
  </si>
  <si>
    <t>CHEM-0045</t>
    <phoneticPr fontId="3" type="noConversion"/>
  </si>
  <si>
    <t>CHEM-0046</t>
    <phoneticPr fontId="3" type="noConversion"/>
  </si>
  <si>
    <t>CHEM-0047</t>
    <phoneticPr fontId="3" type="noConversion"/>
  </si>
  <si>
    <t>Trend chart-CHEM-028</t>
    <phoneticPr fontId="3" type="noConversion"/>
  </si>
  <si>
    <t>鍍銅線 (CP)-鍍銅槽-GAP-1</t>
    <phoneticPr fontId="3" type="noConversion"/>
  </si>
  <si>
    <t>Trend chart-CHEM-029</t>
    <phoneticPr fontId="3" type="noConversion"/>
  </si>
  <si>
    <t>鍍銅線 (CP)-鍍銅槽-GAP-2</t>
    <phoneticPr fontId="3" type="noConversion"/>
  </si>
  <si>
    <t>Trend chart-CHEM-030</t>
    <phoneticPr fontId="3" type="noConversion"/>
  </si>
  <si>
    <t>鍍銅線 (CP)-鍍銅槽-GAP-3</t>
    <phoneticPr fontId="3" type="noConversion"/>
  </si>
  <si>
    <t>Trend chart-CHEM-031</t>
    <phoneticPr fontId="3" type="noConversion"/>
  </si>
  <si>
    <t>Trend chart-CHEM-032</t>
    <phoneticPr fontId="3" type="noConversion"/>
  </si>
  <si>
    <t>Trend chart-CHEM-033</t>
    <phoneticPr fontId="3" type="noConversion"/>
  </si>
  <si>
    <t>CHEM-0048</t>
    <phoneticPr fontId="3" type="noConversion"/>
  </si>
  <si>
    <t>PT2</t>
  </si>
  <si>
    <t>Trend chart-CHEM-034</t>
    <phoneticPr fontId="3" type="noConversion"/>
  </si>
  <si>
    <t>粗化線 (PT2)-粗化-銅離子</t>
    <phoneticPr fontId="3" type="noConversion"/>
  </si>
  <si>
    <t>Trend chart-CHEM-035</t>
    <phoneticPr fontId="3" type="noConversion"/>
  </si>
  <si>
    <t>粗化線 (PT2)-粗化-比重</t>
    <phoneticPr fontId="3" type="noConversion"/>
  </si>
  <si>
    <t>CHEM-0049</t>
    <phoneticPr fontId="3" type="noConversion"/>
  </si>
  <si>
    <t>Trend chart-CHEM-036</t>
    <phoneticPr fontId="3" type="noConversion"/>
  </si>
  <si>
    <t>粗化線 (PT2)-鹽酸洗-銅離子</t>
    <phoneticPr fontId="3" type="noConversion"/>
  </si>
  <si>
    <t>Trend chart-CHEM-037</t>
    <phoneticPr fontId="3" type="noConversion"/>
  </si>
  <si>
    <t>粗化線 (PT2)-抗氧化-PH</t>
    <phoneticPr fontId="3" type="noConversion"/>
  </si>
  <si>
    <t>DV2</t>
    <phoneticPr fontId="3" type="noConversion"/>
  </si>
  <si>
    <t>CHEM-0050</t>
    <phoneticPr fontId="3" type="noConversion"/>
  </si>
  <si>
    <r>
      <rPr>
        <sz val="8"/>
        <color rgb="FF35383A"/>
        <rFont val="微軟正黑體"/>
        <family val="2"/>
        <charset val="136"/>
      </rPr>
      <t>顯影線</t>
    </r>
    <r>
      <rPr>
        <sz val="8"/>
        <color rgb="FF35383A"/>
        <rFont val="Open Sans"/>
        <family val="2"/>
      </rPr>
      <t xml:space="preserve"> (DV2)-</t>
    </r>
    <r>
      <rPr>
        <sz val="8"/>
        <color rgb="FF35383A"/>
        <rFont val="微軟正黑體"/>
        <family val="2"/>
        <charset val="136"/>
      </rPr>
      <t>顯影</t>
    </r>
    <r>
      <rPr>
        <sz val="8"/>
        <color rgb="FF35383A"/>
        <rFont val="Open Sans"/>
        <family val="2"/>
      </rPr>
      <t>-</t>
    </r>
    <r>
      <rPr>
        <sz val="8"/>
        <color rgb="FF35383A"/>
        <rFont val="微軟正黑體"/>
        <family val="2"/>
        <charset val="136"/>
      </rPr>
      <t>碳酸鈉</t>
    </r>
    <phoneticPr fontId="3" type="noConversion"/>
  </si>
  <si>
    <t>DV2</t>
  </si>
  <si>
    <t>Trend chart-CHEM-038</t>
    <phoneticPr fontId="3" type="noConversion"/>
  </si>
  <si>
    <t>顯影線 (DV2)-顯影-PH</t>
    <phoneticPr fontId="3" type="noConversion"/>
  </si>
  <si>
    <t>CHEM-0051</t>
    <phoneticPr fontId="3" type="noConversion"/>
  </si>
  <si>
    <r>
      <rPr>
        <sz val="8"/>
        <color rgb="FF35383A"/>
        <rFont val="微軟正黑體"/>
        <family val="2"/>
        <charset val="136"/>
      </rPr>
      <t>顯影線</t>
    </r>
    <r>
      <rPr>
        <sz val="8"/>
        <color rgb="FF35383A"/>
        <rFont val="Open Sans"/>
        <family val="2"/>
      </rPr>
      <t xml:space="preserve"> (DV2)-</t>
    </r>
    <r>
      <rPr>
        <sz val="8"/>
        <color rgb="FF35383A"/>
        <rFont val="微軟正黑體"/>
        <family val="2"/>
        <charset val="136"/>
      </rPr>
      <t>新液洗</t>
    </r>
    <r>
      <rPr>
        <sz val="8"/>
        <color rgb="FF35383A"/>
        <rFont val="Open Sans"/>
        <family val="2"/>
      </rPr>
      <t>-</t>
    </r>
    <r>
      <rPr>
        <sz val="8"/>
        <color rgb="FF35383A"/>
        <rFont val="微軟正黑體"/>
        <family val="2"/>
        <charset val="136"/>
      </rPr>
      <t>碳酸鈉</t>
    </r>
    <phoneticPr fontId="3" type="noConversion"/>
  </si>
  <si>
    <t>Trend chart-CHEM-039</t>
    <phoneticPr fontId="3" type="noConversion"/>
  </si>
  <si>
    <r>
      <rPr>
        <sz val="8"/>
        <color rgb="FF35383A"/>
        <rFont val="微軟正黑體"/>
        <family val="2"/>
        <charset val="136"/>
      </rPr>
      <t>顯影線</t>
    </r>
    <r>
      <rPr>
        <sz val="8"/>
        <color rgb="FF35383A"/>
        <rFont val="Open Sans"/>
        <family val="2"/>
      </rPr>
      <t xml:space="preserve"> (DV2)-</t>
    </r>
    <r>
      <rPr>
        <sz val="8"/>
        <color rgb="FF35383A"/>
        <rFont val="微軟正黑體"/>
        <family val="2"/>
        <charset val="136"/>
      </rPr>
      <t>新液洗</t>
    </r>
    <r>
      <rPr>
        <sz val="8"/>
        <color rgb="FF35383A"/>
        <rFont val="Open Sans"/>
        <family val="2"/>
      </rPr>
      <t>-PH</t>
    </r>
    <phoneticPr fontId="3" type="noConversion"/>
  </si>
  <si>
    <t>CHEM-0052</t>
    <phoneticPr fontId="3" type="noConversion"/>
  </si>
  <si>
    <r>
      <rPr>
        <sz val="8"/>
        <color rgb="FF35383A"/>
        <rFont val="微軟正黑體"/>
        <family val="2"/>
        <charset val="136"/>
      </rPr>
      <t>顯影線</t>
    </r>
    <r>
      <rPr>
        <sz val="8"/>
        <color rgb="FF35383A"/>
        <rFont val="Open Sans"/>
        <family val="2"/>
      </rPr>
      <t xml:space="preserve"> (DV2)-</t>
    </r>
    <r>
      <rPr>
        <sz val="8"/>
        <color rgb="FF35383A"/>
        <rFont val="微軟正黑體"/>
        <family val="2"/>
        <charset val="136"/>
      </rPr>
      <t>添加桶</t>
    </r>
    <r>
      <rPr>
        <sz val="8"/>
        <color rgb="FF35383A"/>
        <rFont val="Open Sans"/>
        <family val="2"/>
      </rPr>
      <t>-</t>
    </r>
    <r>
      <rPr>
        <sz val="8"/>
        <color rgb="FF35383A"/>
        <rFont val="微軟正黑體"/>
        <family val="2"/>
        <charset val="136"/>
      </rPr>
      <t>碳酸鈉</t>
    </r>
    <phoneticPr fontId="3" type="noConversion"/>
  </si>
  <si>
    <t>Trend chart-CHEM-040</t>
    <phoneticPr fontId="3" type="noConversion"/>
  </si>
  <si>
    <r>
      <rPr>
        <sz val="8"/>
        <color rgb="FF35383A"/>
        <rFont val="微軟正黑體"/>
        <family val="2"/>
        <charset val="136"/>
      </rPr>
      <t>顯影線</t>
    </r>
    <r>
      <rPr>
        <sz val="8"/>
        <color rgb="FF35383A"/>
        <rFont val="Open Sans"/>
        <family val="2"/>
      </rPr>
      <t xml:space="preserve"> (DV2)-</t>
    </r>
    <r>
      <rPr>
        <sz val="8"/>
        <color rgb="FF35383A"/>
        <rFont val="微軟正黑體"/>
        <family val="2"/>
        <charset val="136"/>
      </rPr>
      <t>添加桶</t>
    </r>
    <r>
      <rPr>
        <sz val="8"/>
        <color rgb="FF35383A"/>
        <rFont val="Open Sans"/>
        <family val="2"/>
      </rPr>
      <t>-PH</t>
    </r>
    <phoneticPr fontId="3" type="noConversion"/>
  </si>
  <si>
    <t>ST2</t>
    <phoneticPr fontId="3" type="noConversion"/>
  </si>
  <si>
    <t>CHEM-0053</t>
    <phoneticPr fontId="3" type="noConversion"/>
  </si>
  <si>
    <r>
      <rPr>
        <strike/>
        <sz val="10"/>
        <color rgb="FFFF0000"/>
        <rFont val="Microsoft JhengHei"/>
        <family val="2"/>
        <charset val="136"/>
      </rPr>
      <t xml:space="preserve">17 </t>
    </r>
    <r>
      <rPr>
        <u/>
        <sz val="10"/>
        <color rgb="FFFF0000"/>
        <rFont val="Microsoft JhengHei"/>
        <family val="2"/>
        <charset val="136"/>
      </rPr>
      <t>18</t>
    </r>
    <phoneticPr fontId="3" type="noConversion"/>
  </si>
  <si>
    <r>
      <rPr>
        <strike/>
        <sz val="10"/>
        <color rgb="FFFF0000"/>
        <rFont val="Microsoft JhengHei"/>
        <family val="2"/>
        <charset val="136"/>
      </rPr>
      <t xml:space="preserve">13 </t>
    </r>
    <r>
      <rPr>
        <u/>
        <sz val="10"/>
        <color rgb="FFFF0000"/>
        <rFont val="Microsoft JhengHei"/>
        <family val="2"/>
        <charset val="136"/>
      </rPr>
      <t>16</t>
    </r>
    <phoneticPr fontId="3" type="noConversion"/>
  </si>
  <si>
    <t>CHEM-0054</t>
    <phoneticPr fontId="3" type="noConversion"/>
  </si>
  <si>
    <t>CHEM-0055</t>
    <phoneticPr fontId="3" type="noConversion"/>
  </si>
  <si>
    <t>CHEM-0056</t>
    <phoneticPr fontId="3" type="noConversion"/>
  </si>
  <si>
    <t>CHEM-0057</t>
    <phoneticPr fontId="3" type="noConversion"/>
  </si>
  <si>
    <t>CHEM-0058</t>
    <phoneticPr fontId="3" type="noConversion"/>
  </si>
  <si>
    <t>CHEM-0059</t>
  </si>
  <si>
    <t>Trend chart-CHEM-041</t>
    <phoneticPr fontId="3" type="noConversion"/>
  </si>
  <si>
    <t>快蝕線 (QE2)-蝕刻主槽(銅)-銅離子</t>
    <phoneticPr fontId="3" type="noConversion"/>
  </si>
  <si>
    <t>Trend chart-CHEM-042</t>
  </si>
  <si>
    <t>快蝕線 (QE2)-蝕刻主槽(銅)-雙氧水</t>
    <phoneticPr fontId="3" type="noConversion"/>
  </si>
  <si>
    <t>CHEM-0060</t>
    <phoneticPr fontId="3" type="noConversion"/>
  </si>
  <si>
    <t>快蝕線 (QE2)-蝕刻(3)槽(鎳)-硝酸</t>
    <phoneticPr fontId="3" type="noConversion"/>
  </si>
  <si>
    <t>CHEM-0061</t>
  </si>
  <si>
    <t>快蝕線 (QE2)-蝕刻(3)槽(鎳)-雙氧水</t>
    <phoneticPr fontId="3" type="noConversion"/>
  </si>
  <si>
    <t>CHEM-0062</t>
  </si>
  <si>
    <t>藥液管制</t>
  </si>
  <si>
    <t>藥液趨勢監控</t>
  </si>
  <si>
    <t>Cp</t>
    <phoneticPr fontId="3" type="noConversion"/>
  </si>
  <si>
    <t>Cpk</t>
    <phoneticPr fontId="3" type="noConversion"/>
  </si>
  <si>
    <t>Cpk變化
(本期-上期)</t>
    <phoneticPr fontId="3" type="noConversion"/>
  </si>
  <si>
    <t>QE1</t>
    <phoneticPr fontId="3" type="noConversion"/>
  </si>
  <si>
    <t>趨勢圖變更為管制圖管制</t>
  </si>
  <si>
    <t>趨勢圖變更為管制圖管制</t>
    <phoneticPr fontId="3" type="noConversion"/>
  </si>
  <si>
    <t>清洗線(CN)-鹼洗一-硫酸</t>
    <phoneticPr fontId="3" type="noConversion"/>
  </si>
  <si>
    <t>清洗線(CN)-鹼洗二-硫酸</t>
    <phoneticPr fontId="3" type="noConversion"/>
  </si>
  <si>
    <r>
      <rPr>
        <sz val="8"/>
        <color rgb="FF35383A"/>
        <rFont val="微軟正黑體"/>
        <family val="2"/>
        <charset val="136"/>
      </rPr>
      <t>清洗線</t>
    </r>
    <r>
      <rPr>
        <sz val="8"/>
        <color rgb="FF35383A"/>
        <rFont val="Open Sans"/>
        <family val="2"/>
      </rPr>
      <t>(CN)-</t>
    </r>
    <r>
      <rPr>
        <sz val="8"/>
        <color rgb="FF35383A"/>
        <rFont val="微軟正黑體"/>
        <family val="2"/>
        <charset val="136"/>
      </rPr>
      <t>鹼洗一</t>
    </r>
    <r>
      <rPr>
        <sz val="8"/>
        <color rgb="FF35383A"/>
        <rFont val="Open Sans"/>
        <family val="2"/>
      </rPr>
      <t>-SPS</t>
    </r>
    <phoneticPr fontId="3" type="noConversion"/>
  </si>
  <si>
    <t>清洗線(CN)-鹼洗二-SPS</t>
    <phoneticPr fontId="3" type="noConversion"/>
  </si>
  <si>
    <t>化鎳線-N2-表面處理-KOH</t>
    <phoneticPr fontId="3" type="noConversion"/>
  </si>
  <si>
    <r>
      <rPr>
        <sz val="8"/>
        <rFont val="微軟正黑體"/>
        <family val="2"/>
        <charset val="136"/>
      </rPr>
      <t>化鎳線</t>
    </r>
    <r>
      <rPr>
        <sz val="8"/>
        <rFont val="Open Sans"/>
        <family val="2"/>
      </rPr>
      <t>-N2-</t>
    </r>
    <r>
      <rPr>
        <sz val="8"/>
        <rFont val="微軟正黑體"/>
        <family val="2"/>
        <charset val="136"/>
      </rPr>
      <t>表面處理</t>
    </r>
    <r>
      <rPr>
        <sz val="8"/>
        <rFont val="Open Sans"/>
        <family val="2"/>
      </rPr>
      <t>-IPA</t>
    </r>
    <phoneticPr fontId="3" type="noConversion"/>
  </si>
  <si>
    <t>化鎳線-N2-化鎳-Na3PO3</t>
    <phoneticPr fontId="3" type="noConversion"/>
  </si>
  <si>
    <t>化鎳線-N2-化鎳-Na2HPO2</t>
    <phoneticPr fontId="3" type="noConversion"/>
  </si>
  <si>
    <t>鍍銅線-C1-銅1-硫酸</t>
    <phoneticPr fontId="3" type="noConversion"/>
  </si>
  <si>
    <t>鍍銅線-C1-銅2-硫酸</t>
    <phoneticPr fontId="3" type="noConversion"/>
  </si>
  <si>
    <t>粗化線 (PT)-脫脂-硫酸</t>
    <phoneticPr fontId="3" type="noConversion"/>
  </si>
  <si>
    <t>鍍銅線 (CP)-鍍銅槽-硫酸銅</t>
    <phoneticPr fontId="3" type="noConversion"/>
  </si>
  <si>
    <t>除鈀線(DP)-PARRADELETE</t>
    <phoneticPr fontId="3" type="noConversion"/>
  </si>
  <si>
    <r>
      <rPr>
        <sz val="8"/>
        <color rgb="FF35383A"/>
        <rFont val="微軟正黑體"/>
        <family val="2"/>
        <charset val="136"/>
      </rPr>
      <t>除鈀線</t>
    </r>
    <r>
      <rPr>
        <sz val="8"/>
        <color rgb="FF35383A"/>
        <rFont val="Open Sans"/>
        <family val="2"/>
      </rPr>
      <t>(DP)-</t>
    </r>
    <r>
      <rPr>
        <sz val="8"/>
        <color rgb="FF35383A"/>
        <rFont val="微軟正黑體"/>
        <family val="2"/>
        <charset val="136"/>
      </rPr>
      <t>清潔</t>
    </r>
    <r>
      <rPr>
        <sz val="8"/>
        <color rgb="FF35383A"/>
        <rFont val="Open Sans"/>
        <family val="2"/>
      </rPr>
      <t>-PARRARINSE</t>
    </r>
    <phoneticPr fontId="3" type="noConversion"/>
  </si>
  <si>
    <r>
      <rPr>
        <sz val="8"/>
        <color rgb="FF35383A"/>
        <rFont val="微軟正黑體"/>
        <family val="2"/>
        <charset val="136"/>
      </rPr>
      <t>除鈀線</t>
    </r>
    <r>
      <rPr>
        <sz val="8"/>
        <color rgb="FF35383A"/>
        <rFont val="Open Sans"/>
        <family val="2"/>
      </rPr>
      <t>(DP)-</t>
    </r>
    <r>
      <rPr>
        <sz val="8"/>
        <color rgb="FF35383A"/>
        <rFont val="微軟正黑體"/>
        <family val="2"/>
        <charset val="136"/>
      </rPr>
      <t>酸洗</t>
    </r>
    <r>
      <rPr>
        <sz val="8"/>
        <color rgb="FF35383A"/>
        <rFont val="Open Sans"/>
        <family val="2"/>
      </rPr>
      <t>-</t>
    </r>
    <r>
      <rPr>
        <sz val="8"/>
        <color rgb="FF35383A"/>
        <rFont val="微軟正黑體"/>
        <family val="2"/>
        <charset val="136"/>
      </rPr>
      <t>硫酸</t>
    </r>
    <phoneticPr fontId="3" type="noConversion"/>
  </si>
  <si>
    <t>剝膜線 (ST)-剝膜(1)-KOH</t>
    <phoneticPr fontId="3" type="noConversion"/>
  </si>
  <si>
    <r>
      <rPr>
        <sz val="8"/>
        <rFont val="微軟正黑體"/>
        <family val="2"/>
        <charset val="136"/>
      </rPr>
      <t>剝膜線</t>
    </r>
    <r>
      <rPr>
        <sz val="8"/>
        <rFont val="Open Sans"/>
        <family val="2"/>
      </rPr>
      <t xml:space="preserve"> (ST)-</t>
    </r>
    <r>
      <rPr>
        <sz val="8"/>
        <rFont val="微軟正黑體"/>
        <family val="2"/>
        <charset val="136"/>
      </rPr>
      <t>剝膜(2)槽</t>
    </r>
    <r>
      <rPr>
        <sz val="8"/>
        <rFont val="Open Sans"/>
        <family val="2"/>
      </rPr>
      <t>-KOH</t>
    </r>
    <phoneticPr fontId="3" type="noConversion"/>
  </si>
  <si>
    <t>剝膜線 (ST)-酸洗-硫酸</t>
    <phoneticPr fontId="3" type="noConversion"/>
  </si>
  <si>
    <t>剝膜線 (ST)-添加桶-KOH</t>
    <phoneticPr fontId="3" type="noConversion"/>
  </si>
  <si>
    <t>快蝕線 (QE)-蝕刻-硫酸</t>
    <phoneticPr fontId="3" type="noConversion"/>
  </si>
  <si>
    <t>快蝕線 (QE)-酸洗-硫酸</t>
    <phoneticPr fontId="3" type="noConversion"/>
  </si>
  <si>
    <t>上期Cpk</t>
    <phoneticPr fontId="3" type="noConversion"/>
  </si>
  <si>
    <t>當月資料筆數
(7/1~7/31)</t>
    <phoneticPr fontId="3" type="noConversion"/>
  </si>
  <si>
    <t>NA</t>
    <phoneticPr fontId="3" type="noConversion"/>
  </si>
  <si>
    <t>7/9變更規格;資料:7/9~7/31</t>
  </si>
  <si>
    <t>7/9變更規格;資料:7/9~7/31</t>
    <phoneticPr fontId="3" type="noConversion"/>
  </si>
  <si>
    <t>清洗線(CN)-鹼洗一-硫酸</t>
  </si>
  <si>
    <t>清洗線(CN)-鹼洗一-SPS</t>
  </si>
  <si>
    <t>清洗線(CN)-鹼洗二-硫酸</t>
  </si>
  <si>
    <t>清洗線(CN)-鹼洗二-SPS</t>
  </si>
  <si>
    <t>鍍銅線-C1-銅1-硫酸</t>
  </si>
  <si>
    <t>鍍銅線-C1-銅1-CuSO4‧5H2O</t>
  </si>
  <si>
    <t>鍍銅線-C1-銅1-氯離子</t>
  </si>
  <si>
    <t>鍍銅線-C1-銅1-S RF-A</t>
  </si>
  <si>
    <t>鍍銅線-C1-銅1-S RF-B</t>
  </si>
  <si>
    <t>鍍銅線-C1-銅2-硫酸</t>
  </si>
  <si>
    <t>鍍銅線-C1-銅2-CuSO4‧5H2O</t>
  </si>
  <si>
    <t>鍍銅線-C1-銅2-氯離子</t>
  </si>
  <si>
    <t>鍍銅線-C1-銅2-S RF-A</t>
  </si>
  <si>
    <t>鍍銅線-C1-銅2-S RF-B</t>
  </si>
  <si>
    <t>鍍銅線 (CP)-清潔槽-硫酸</t>
  </si>
  <si>
    <t>鍍銅線 (CP)-酸浸槽-硫酸</t>
  </si>
  <si>
    <t>鍍銅線 (CP)-鍍銅槽-硫酸</t>
  </si>
  <si>
    <t>鍍銅線 (CP)-鍍銅槽-硫酸銅</t>
  </si>
  <si>
    <t>鍍銅線 (CP)-鍍銅槽-氯離子</t>
  </si>
  <si>
    <t>鍍銅線 (CP)-鍍銅槽-SF</t>
  </si>
  <si>
    <t>鍍銅線 (CP)-鍍銅槽-STB</t>
  </si>
  <si>
    <t>鍍銅線 (CP)-CP剝掛 硫酸</t>
  </si>
  <si>
    <t>鍍銅線 (CP)-剝掛槽-雙氧水</t>
  </si>
  <si>
    <t>鍍銅線 (CP)-剝掛槽-銅離子</t>
  </si>
  <si>
    <t>除鈀線(DP)-PARRADELETE</t>
  </si>
  <si>
    <t>除鈀線(DP)-SPS</t>
  </si>
  <si>
    <t>除鈀線(DP)-PH</t>
  </si>
  <si>
    <t>除鈀線(DP)-清潔-PARRARINSE</t>
  </si>
  <si>
    <t>除鈀線(DP)-酸洗-硫酸</t>
  </si>
  <si>
    <t>除鈀線(DP)-抗氧化-PH</t>
  </si>
  <si>
    <t>顯影線 (DV)-顯影-碳酸鈉</t>
  </si>
  <si>
    <t>顯影線 (DV)-顯影-PH</t>
  </si>
  <si>
    <t>顯影線 (DV)-添加桶-碳酸鈉</t>
  </si>
  <si>
    <t>顯影線 (DV)-添加桶-PH</t>
  </si>
  <si>
    <t>化鎳線-N2-表面處理-KOH</t>
  </si>
  <si>
    <t>化鎳線-N2-表面處理-IPA</t>
  </si>
  <si>
    <t>化鎳線-N2-表面處理-pH</t>
  </si>
  <si>
    <t>化鎳線-N2-電荷調整-P200</t>
  </si>
  <si>
    <t>化鎳線-N2-電荷調整-pH</t>
  </si>
  <si>
    <t>化鎳線-N2-預浸-P300</t>
  </si>
  <si>
    <t>化鎳線-N2-催化-P400</t>
  </si>
  <si>
    <t>化鎳線-N2-催化-SnCl2</t>
  </si>
  <si>
    <t>化鎳線-N2-促進-P500A</t>
  </si>
  <si>
    <t>化鎳線-N2-促進-SnCl2</t>
  </si>
  <si>
    <t>化鎳線-N2-化鎳-Ni</t>
  </si>
  <si>
    <t>化鎳線-N2-化鎳-Na3PO3</t>
  </si>
  <si>
    <t>化鎳線-N2-化鎳-Na2HPO2</t>
  </si>
  <si>
    <t>化鎳線-N2-化鎳-pH</t>
  </si>
  <si>
    <t>粗化線 (PT)-脫脂-硫酸</t>
  </si>
  <si>
    <t>粗化線 (PT)-粗化-銅離子</t>
  </si>
  <si>
    <t>粗化線 (PT)-粗化-比重</t>
  </si>
  <si>
    <t>粗化線 (PT)-鹽酸洗-鹽酸</t>
  </si>
  <si>
    <t>粗化線 (PT)-鹽酸洗-銅離子</t>
  </si>
  <si>
    <t>粗化線 (PT)-抗氧化-PH</t>
  </si>
  <si>
    <t>快蝕線 (QE)-蝕刻-硫酸</t>
  </si>
  <si>
    <t>快蝕線 (QE)-蝕刻-銅離子</t>
  </si>
  <si>
    <t>快蝕線 (QE)-蝕刻-雙氧水</t>
  </si>
  <si>
    <t>快蝕線 (QE)-酸洗-硫酸</t>
  </si>
  <si>
    <t>快蝕線 (QE)-抗氧化-PH</t>
  </si>
  <si>
    <t>剝膜線 (ST)-剝膜(1)-KOH</t>
  </si>
  <si>
    <t>剝膜線 (ST)-剝膜(2)槽-KOH</t>
  </si>
  <si>
    <t>剝膜線 (ST)-酸洗-硫酸</t>
  </si>
  <si>
    <t>剝膜線 (ST)-添加桶-KOH</t>
  </si>
  <si>
    <t>剝膜線 (ST)-小槽-KOH</t>
    <phoneticPr fontId="3" type="noConversion"/>
  </si>
  <si>
    <r>
      <rPr>
        <sz val="8"/>
        <color rgb="FF35383A"/>
        <rFont val="微軟正黑體"/>
        <family val="2"/>
        <charset val="136"/>
      </rPr>
      <t>鍍銅線</t>
    </r>
    <r>
      <rPr>
        <sz val="8"/>
        <color rgb="FF35383A"/>
        <rFont val="Open Sans"/>
        <family val="2"/>
      </rPr>
      <t xml:space="preserve"> (CP)-</t>
    </r>
    <r>
      <rPr>
        <sz val="8"/>
        <color rgb="FF35383A"/>
        <rFont val="微軟正黑體"/>
        <family val="2"/>
        <charset val="136"/>
      </rPr>
      <t>清潔槽</t>
    </r>
    <r>
      <rPr>
        <sz val="8"/>
        <color rgb="FF35383A"/>
        <rFont val="Open Sans"/>
        <family val="2"/>
      </rPr>
      <t>-</t>
    </r>
    <r>
      <rPr>
        <sz val="8"/>
        <color rgb="FF35383A"/>
        <rFont val="Microsoft JhengHei"/>
        <family val="2"/>
        <charset val="136"/>
      </rPr>
      <t>硫酸</t>
    </r>
    <phoneticPr fontId="3" type="noConversion"/>
  </si>
  <si>
    <t>鍍銅線 (CP)-剝掛槽-硫酸</t>
    <phoneticPr fontId="3" type="noConversion"/>
  </si>
  <si>
    <t>粗化線 (PT2)-脫脂-硫酸</t>
    <phoneticPr fontId="3" type="noConversion"/>
  </si>
  <si>
    <t>粗化線 (PT2)-鹽酸洗-鹽酸</t>
    <phoneticPr fontId="3" type="noConversion"/>
  </si>
  <si>
    <t>剝膜線 (ST2)-剝膜(1)槽-KOH</t>
    <phoneticPr fontId="3" type="noConversion"/>
  </si>
  <si>
    <t>剝膜線 (ST2)-剝膜(2)槽-KOH</t>
    <phoneticPr fontId="3" type="noConversion"/>
  </si>
  <si>
    <t>剝膜線 (ST2)-剝膜(3)槽-KOH</t>
    <phoneticPr fontId="3" type="noConversion"/>
  </si>
  <si>
    <t>剝膜線 (ST2)-酸洗-硫酸</t>
    <phoneticPr fontId="3" type="noConversion"/>
  </si>
  <si>
    <t>剝膜線 (ST2)-添加桶(1)槽-KOH</t>
    <phoneticPr fontId="3" type="noConversion"/>
  </si>
  <si>
    <t>剝膜線 (ST2)-添加桶(2)槽-KOH</t>
    <phoneticPr fontId="3" type="noConversion"/>
  </si>
  <si>
    <t>快蝕線 (QE2)-蝕刻(銅)-硫酸</t>
    <phoneticPr fontId="3" type="noConversion"/>
  </si>
  <si>
    <t>快蝕線 (QE2)-酸洗-硫酸</t>
    <phoneticPr fontId="3" type="noConversion"/>
  </si>
  <si>
    <t>快蝕線 (QE2)-蝕刻主槽(鎳)-銅離子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</si>
</sst>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m&quot;月&quot;d&quot;日&quot;"/>
  </numFmts>
  <fonts count="22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Microsoft JhengHei"/>
      <family val="2"/>
      <charset val="136"/>
    </font>
    <font>
      <sz val="9"/>
      <name val="細明體"/>
      <family val="3"/>
      <charset val="136"/>
    </font>
    <font>
      <sz val="11"/>
      <color rgb="FF333333"/>
      <name val="微軟正黑體"/>
      <family val="2"/>
      <charset val="136"/>
    </font>
    <font>
      <sz val="11"/>
      <color rgb="FF333333"/>
      <name val="Arial"/>
      <family val="2"/>
    </font>
    <font>
      <sz val="11"/>
      <color rgb="FF333333"/>
      <name val="Microsoft JhengHei"/>
      <family val="2"/>
      <charset val="136"/>
    </font>
    <font>
      <sz val="8"/>
      <color rgb="FF35383A"/>
      <name val="微軟正黑體"/>
      <family val="2"/>
      <charset val="136"/>
    </font>
    <font>
      <sz val="8"/>
      <color rgb="FF35383A"/>
      <name val="Open Sans"/>
      <family val="2"/>
    </font>
    <font>
      <sz val="8"/>
      <name val="Microsoft JhengHei"/>
      <family val="2"/>
      <charset val="136"/>
    </font>
    <font>
      <sz val="8"/>
      <name val="微軟正黑體"/>
      <family val="2"/>
      <charset val="136"/>
    </font>
    <font>
      <sz val="8"/>
      <name val="Open Sans"/>
      <family val="2"/>
    </font>
    <font>
      <sz val="8"/>
      <color rgb="FF35383A"/>
      <name val="Microsoft JhengHei"/>
      <family val="2"/>
      <charset val="136"/>
    </font>
    <font>
      <sz val="10"/>
      <name val="Microsoft JhengHei"/>
      <family val="2"/>
      <charset val="136"/>
    </font>
    <font>
      <sz val="10"/>
      <color rgb="FF000000"/>
      <name val="Microsoft JhengHei"/>
      <family val="2"/>
    </font>
    <font>
      <sz val="10"/>
      <color rgb="FFFF0000"/>
      <name val="Microsoft JhengHei"/>
      <family val="2"/>
      <charset val="136"/>
    </font>
    <font>
      <sz val="10"/>
      <color rgb="FFFF0000"/>
      <name val="Arial"/>
      <family val="2"/>
    </font>
    <font>
      <sz val="10"/>
      <color rgb="FFFF0000"/>
      <name val="Microsoft JhengHei"/>
      <family val="2"/>
    </font>
    <font>
      <strike/>
      <sz val="10"/>
      <color rgb="FFFF0000"/>
      <name val="Microsoft JhengHei"/>
      <family val="2"/>
      <charset val="136"/>
    </font>
    <font>
      <u/>
      <sz val="10"/>
      <color rgb="FFFF0000"/>
      <name val="Microsoft JhengHei"/>
      <family val="2"/>
      <charset val="136"/>
    </font>
    <font>
      <sz val="10"/>
      <color rgb="FF000000"/>
      <name val="Arial"/>
      <family val="2"/>
      <charset val="136"/>
    </font>
    <font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2" fillId="3" borderId="11" xfId="0" applyNumberFormat="1" applyFont="1" applyFill="1" applyBorder="1" applyAlignment="1">
      <alignment horizontal="center" vertical="center"/>
    </xf>
    <xf numFmtId="176" fontId="2" fillId="3" borderId="13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76" fontId="2" fillId="4" borderId="11" xfId="0" applyNumberFormat="1" applyFont="1" applyFill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0" fontId="15" fillId="4" borderId="1" xfId="0" applyFont="1" applyFill="1" applyBorder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/>
    </xf>
    <xf numFmtId="0" fontId="2" fillId="7" borderId="15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5" fillId="2" borderId="1" xfId="0" applyFont="1" applyFill="1" applyBorder="1">
      <alignment vertical="center"/>
    </xf>
    <xf numFmtId="0" fontId="15" fillId="3" borderId="1" xfId="0" applyFont="1" applyFill="1" applyBorder="1" applyAlignment="1">
      <alignment horizontal="center" vertical="center"/>
    </xf>
    <xf numFmtId="176" fontId="0" fillId="0" borderId="0" xfId="2" applyNumberFormat="1" applyFont="1">
      <alignment vertical="center"/>
    </xf>
    <xf numFmtId="0" fontId="20" fillId="0" borderId="0" xfId="0" applyFont="1">
      <alignment vertical="center"/>
    </xf>
    <xf numFmtId="0" fontId="2" fillId="8" borderId="1" xfId="0" applyFont="1" applyFill="1" applyBorder="1">
      <alignment vertical="center"/>
    </xf>
    <xf numFmtId="177" fontId="21" fillId="0" borderId="0" xfId="0" applyNumberFormat="1" applyFont="1">
      <alignment vertical="center"/>
    </xf>
    <xf numFmtId="0" fontId="21" fillId="0" borderId="0" xfId="0" applyFont="1">
      <alignment vertical="center"/>
    </xf>
    <xf numFmtId="178" fontId="2" fillId="4" borderId="1" xfId="0" applyNumberFormat="1" applyFont="1" applyFill="1" applyBorder="1">
      <alignment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center" vertical="center"/>
    </xf>
    <xf numFmtId="0" fontId="2" fillId="3" borderId="14" xfId="0" applyFont="1" applyFill="1" applyBorder="1">
      <alignment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6" xfId="0" applyFont="1" applyFill="1" applyBorder="1">
      <alignment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9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5" fillId="3" borderId="1" xfId="0" applyFont="1" applyFill="1" applyBorder="1">
      <alignment vertical="center"/>
    </xf>
    <xf numFmtId="0" fontId="0" fillId="9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/>
    </xf>
    <xf numFmtId="2" fontId="13" fillId="2" borderId="5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2" fontId="2" fillId="3" borderId="7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2" fontId="13" fillId="2" borderId="11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2" fontId="2" fillId="3" borderId="11" xfId="0" applyNumberFormat="1" applyFont="1" applyFill="1" applyBorder="1" applyAlignment="1">
      <alignment horizontal="center" vertical="center"/>
    </xf>
    <xf numFmtId="2" fontId="2" fillId="4" borderId="11" xfId="0" applyNumberFormat="1" applyFont="1" applyFill="1" applyBorder="1" applyAlignment="1">
      <alignment horizontal="center" vertical="center"/>
    </xf>
    <xf numFmtId="2" fontId="2" fillId="3" borderId="13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6" fillId="0" borderId="20" xfId="0" applyFont="1" applyBorder="1">
      <alignment vertical="center"/>
    </xf>
  </cellXfs>
  <cellStyles count="3">
    <cellStyle name="一般" xfId="0" builtinId="0"/>
    <cellStyle name="一般 2" xfId="1" xr:uid="{FCE979D5-7F76-4385-854D-230750EFE5B1}"/>
    <cellStyle name="百分比" xfId="2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3</xdr:row>
      <xdr:rowOff>165340</xdr:rowOff>
    </xdr:from>
    <xdr:to>
      <xdr:col>24</xdr:col>
      <xdr:colOff>0</xdr:colOff>
      <xdr:row>19</xdr:row>
      <xdr:rowOff>79383</xdr:rowOff>
    </xdr:to>
    <xdr:grpSp>
      <xdr:nvGrpSpPr>
        <xdr:cNvPr id="3" name="群組 2">
          <a:extLst>
            <a:ext uri="{FF2B5EF4-FFF2-40B4-BE49-F238E27FC236}">
              <a16:creationId xmlns:a16="http://schemas.microsoft.com/office/drawing/2014/main" id="{B08CE773-21A8-4369-902A-732A0C4E691A}"/>
            </a:ext>
          </a:extLst>
        </xdr:cNvPr>
        <xdr:cNvGrpSpPr/>
      </xdr:nvGrpSpPr>
      <xdr:grpSpPr>
        <a:xfrm>
          <a:off x="14529955" y="857250"/>
          <a:ext cx="0" cy="0"/>
          <a:chOff x="16375812" y="1193321"/>
          <a:chExt cx="9777243" cy="2674496"/>
        </a:xfrm>
      </xdr:grpSpPr>
      <xdr:pic>
        <xdr:nvPicPr>
          <xdr:cNvPr id="4" name="圖片 3">
            <a:extLst>
              <a:ext uri="{FF2B5EF4-FFF2-40B4-BE49-F238E27FC236}">
                <a16:creationId xmlns:a16="http://schemas.microsoft.com/office/drawing/2014/main" id="{6C084214-3993-A618-7FDF-00AAAD38DA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375812" y="1200509"/>
            <a:ext cx="9777243" cy="2667308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pic>
        <xdr:nvPicPr>
          <xdr:cNvPr id="5" name="圖片 4">
            <a:extLst>
              <a:ext uri="{FF2B5EF4-FFF2-40B4-BE49-F238E27FC236}">
                <a16:creationId xmlns:a16="http://schemas.microsoft.com/office/drawing/2014/main" id="{1A372D61-44F3-EE5B-D258-4BE75E861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965284" y="1337094"/>
            <a:ext cx="2235679" cy="261579"/>
          </a:xfrm>
          <a:prstGeom prst="rect">
            <a:avLst/>
          </a:prstGeom>
        </xdr:spPr>
      </xdr:pic>
      <xdr:cxnSp macro="">
        <xdr:nvCxnSpPr>
          <xdr:cNvPr id="6" name="直線接點 5">
            <a:extLst>
              <a:ext uri="{FF2B5EF4-FFF2-40B4-BE49-F238E27FC236}">
                <a16:creationId xmlns:a16="http://schemas.microsoft.com/office/drawing/2014/main" id="{E7812045-7923-58B0-E946-7A5735AAD0CB}"/>
              </a:ext>
            </a:extLst>
          </xdr:cNvPr>
          <xdr:cNvCxnSpPr/>
        </xdr:nvCxnSpPr>
        <xdr:spPr>
          <a:xfrm>
            <a:off x="20387094" y="1193321"/>
            <a:ext cx="14378" cy="2408207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文字方塊 6">
            <a:extLst>
              <a:ext uri="{FF2B5EF4-FFF2-40B4-BE49-F238E27FC236}">
                <a16:creationId xmlns:a16="http://schemas.microsoft.com/office/drawing/2014/main" id="{EC2A048B-EBB1-0CEB-11CC-83DE2141647A}"/>
              </a:ext>
            </a:extLst>
          </xdr:cNvPr>
          <xdr:cNvSpPr txBox="1"/>
        </xdr:nvSpPr>
        <xdr:spPr>
          <a:xfrm>
            <a:off x="17986076" y="1854679"/>
            <a:ext cx="812320" cy="2300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100"/>
              <a:t>5/15~5/31</a:t>
            </a:r>
            <a:endParaRPr lang="zh-TW" altLang="en-US" sz="1100"/>
          </a:p>
        </xdr:txBody>
      </xdr:sp>
      <xdr:sp macro="" textlink="">
        <xdr:nvSpPr>
          <xdr:cNvPr id="8" name="文字方塊 7">
            <a:extLst>
              <a:ext uri="{FF2B5EF4-FFF2-40B4-BE49-F238E27FC236}">
                <a16:creationId xmlns:a16="http://schemas.microsoft.com/office/drawing/2014/main" id="{20A22D6C-EC44-9F14-AEFF-CD7501D32C40}"/>
              </a:ext>
            </a:extLst>
          </xdr:cNvPr>
          <xdr:cNvSpPr txBox="1"/>
        </xdr:nvSpPr>
        <xdr:spPr>
          <a:xfrm>
            <a:off x="22637151" y="1847491"/>
            <a:ext cx="812320" cy="2300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100"/>
              <a:t>6/1~6/30</a:t>
            </a:r>
            <a:endParaRPr lang="zh-TW" altLang="en-US" sz="1100"/>
          </a:p>
        </xdr:txBody>
      </xdr:sp>
    </xdr:grpSp>
    <xdr:clientData/>
  </xdr:twoCellAnchor>
  <xdr:twoCellAnchor>
    <xdr:from>
      <xdr:col>24</xdr:col>
      <xdr:colOff>0</xdr:colOff>
      <xdr:row>21</xdr:row>
      <xdr:rowOff>115019</xdr:rowOff>
    </xdr:from>
    <xdr:to>
      <xdr:col>24</xdr:col>
      <xdr:colOff>0</xdr:colOff>
      <xdr:row>38</xdr:row>
      <xdr:rowOff>41801</xdr:rowOff>
    </xdr:to>
    <xdr:grpSp>
      <xdr:nvGrpSpPr>
        <xdr:cNvPr id="9" name="群組 8">
          <a:extLst>
            <a:ext uri="{FF2B5EF4-FFF2-40B4-BE49-F238E27FC236}">
              <a16:creationId xmlns:a16="http://schemas.microsoft.com/office/drawing/2014/main" id="{BEC0652C-DF86-46E2-A8D2-2C17FD69415A}"/>
            </a:ext>
          </a:extLst>
        </xdr:cNvPr>
        <xdr:cNvGrpSpPr/>
      </xdr:nvGrpSpPr>
      <xdr:grpSpPr>
        <a:xfrm>
          <a:off x="14529955" y="857250"/>
          <a:ext cx="0" cy="0"/>
          <a:chOff x="16555529" y="4219755"/>
          <a:chExt cx="9621362" cy="2615348"/>
        </a:xfrm>
      </xdr:grpSpPr>
      <xdr:pic>
        <xdr:nvPicPr>
          <xdr:cNvPr id="10" name="圖片 9">
            <a:extLst>
              <a:ext uri="{FF2B5EF4-FFF2-40B4-BE49-F238E27FC236}">
                <a16:creationId xmlns:a16="http://schemas.microsoft.com/office/drawing/2014/main" id="{B9760D77-E5B0-1957-0F99-898005AAF7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555529" y="4219755"/>
            <a:ext cx="9621362" cy="2615348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cxnSp macro="">
        <xdr:nvCxnSpPr>
          <xdr:cNvPr id="11" name="直線接點 10">
            <a:extLst>
              <a:ext uri="{FF2B5EF4-FFF2-40B4-BE49-F238E27FC236}">
                <a16:creationId xmlns:a16="http://schemas.microsoft.com/office/drawing/2014/main" id="{84E35BC4-4B6E-0775-FA1E-0C97355EB13A}"/>
              </a:ext>
            </a:extLst>
          </xdr:cNvPr>
          <xdr:cNvCxnSpPr/>
        </xdr:nvCxnSpPr>
        <xdr:spPr>
          <a:xfrm>
            <a:off x="20466170" y="4255698"/>
            <a:ext cx="14381" cy="2336320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文字方塊 11">
            <a:extLst>
              <a:ext uri="{FF2B5EF4-FFF2-40B4-BE49-F238E27FC236}">
                <a16:creationId xmlns:a16="http://schemas.microsoft.com/office/drawing/2014/main" id="{5E1B41B7-2009-72AE-A612-A69AF1739F21}"/>
              </a:ext>
            </a:extLst>
          </xdr:cNvPr>
          <xdr:cNvSpPr txBox="1"/>
        </xdr:nvSpPr>
        <xdr:spPr>
          <a:xfrm>
            <a:off x="18446155" y="5161471"/>
            <a:ext cx="812320" cy="2300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100"/>
              <a:t>5/15~5/31</a:t>
            </a:r>
            <a:endParaRPr lang="zh-TW" altLang="en-US" sz="1100"/>
          </a:p>
        </xdr:txBody>
      </xdr:sp>
      <xdr:sp macro="" textlink="">
        <xdr:nvSpPr>
          <xdr:cNvPr id="13" name="文字方塊 12">
            <a:extLst>
              <a:ext uri="{FF2B5EF4-FFF2-40B4-BE49-F238E27FC236}">
                <a16:creationId xmlns:a16="http://schemas.microsoft.com/office/drawing/2014/main" id="{FE93E9AA-5520-5315-36F6-6C641708C6FE}"/>
              </a:ext>
            </a:extLst>
          </xdr:cNvPr>
          <xdr:cNvSpPr txBox="1"/>
        </xdr:nvSpPr>
        <xdr:spPr>
          <a:xfrm>
            <a:off x="22845625" y="5211793"/>
            <a:ext cx="812320" cy="2300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100"/>
              <a:t>6/1~6/30</a:t>
            </a:r>
            <a:endParaRPr lang="zh-TW" altLang="en-US" sz="1100"/>
          </a:p>
        </xdr:txBody>
      </xdr:sp>
      <xdr:pic>
        <xdr:nvPicPr>
          <xdr:cNvPr id="14" name="圖片 13">
            <a:extLst>
              <a:ext uri="{FF2B5EF4-FFF2-40B4-BE49-F238E27FC236}">
                <a16:creationId xmlns:a16="http://schemas.microsoft.com/office/drawing/2014/main" id="{45BF8ABE-1C0B-16FE-7D54-B2FA6B1534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7022793" y="4262887"/>
            <a:ext cx="2235678" cy="219543"/>
          </a:xfrm>
          <a:prstGeom prst="rect">
            <a:avLst/>
          </a:prstGeom>
        </xdr:spPr>
      </xdr:pic>
    </xdr:grpSp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0</xdr:colOff>
      <xdr:row>56</xdr:row>
      <xdr:rowOff>145553</xdr:rowOff>
    </xdr:to>
    <xdr:grpSp>
      <xdr:nvGrpSpPr>
        <xdr:cNvPr id="15" name="群組 14">
          <a:extLst>
            <a:ext uri="{FF2B5EF4-FFF2-40B4-BE49-F238E27FC236}">
              <a16:creationId xmlns:a16="http://schemas.microsoft.com/office/drawing/2014/main" id="{9F4DFDA1-3CDE-4A14-86EE-2CFA8304072D}"/>
            </a:ext>
          </a:extLst>
        </xdr:cNvPr>
        <xdr:cNvGrpSpPr/>
      </xdr:nvGrpSpPr>
      <xdr:grpSpPr>
        <a:xfrm>
          <a:off x="14529955" y="857250"/>
          <a:ext cx="0" cy="658091"/>
          <a:chOff x="16375812" y="7109604"/>
          <a:chExt cx="9681982" cy="2675968"/>
        </a:xfrm>
      </xdr:grpSpPr>
      <xdr:pic>
        <xdr:nvPicPr>
          <xdr:cNvPr id="16" name="圖片 15">
            <a:extLst>
              <a:ext uri="{FF2B5EF4-FFF2-40B4-BE49-F238E27FC236}">
                <a16:creationId xmlns:a16="http://schemas.microsoft.com/office/drawing/2014/main" id="{E6B59F04-CE08-FCDE-D657-2B9C031B10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6375812" y="7109604"/>
            <a:ext cx="9681982" cy="2675968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17" name="圖片 16">
            <a:extLst>
              <a:ext uri="{FF2B5EF4-FFF2-40B4-BE49-F238E27FC236}">
                <a16:creationId xmlns:a16="http://schemas.microsoft.com/office/drawing/2014/main" id="{E5D3DF9E-6A47-55A1-CF35-50F8ECCCB7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7152189" y="7397153"/>
            <a:ext cx="1754038" cy="309985"/>
          </a:xfrm>
          <a:prstGeom prst="rect">
            <a:avLst/>
          </a:prstGeom>
        </xdr:spPr>
      </xdr:pic>
      <xdr:cxnSp macro="">
        <xdr:nvCxnSpPr>
          <xdr:cNvPr id="18" name="直線接點 17">
            <a:extLst>
              <a:ext uri="{FF2B5EF4-FFF2-40B4-BE49-F238E27FC236}">
                <a16:creationId xmlns:a16="http://schemas.microsoft.com/office/drawing/2014/main" id="{9AB28CF7-81C1-5997-A9F7-F65BDC794D08}"/>
              </a:ext>
            </a:extLst>
          </xdr:cNvPr>
          <xdr:cNvCxnSpPr/>
        </xdr:nvCxnSpPr>
        <xdr:spPr>
          <a:xfrm>
            <a:off x="17080302" y="7965057"/>
            <a:ext cx="7193" cy="1588698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文字方塊 18">
            <a:extLst>
              <a:ext uri="{FF2B5EF4-FFF2-40B4-BE49-F238E27FC236}">
                <a16:creationId xmlns:a16="http://schemas.microsoft.com/office/drawing/2014/main" id="{2F61A478-06CA-5D1E-243A-F2DD25FFC91A}"/>
              </a:ext>
            </a:extLst>
          </xdr:cNvPr>
          <xdr:cNvSpPr txBox="1"/>
        </xdr:nvSpPr>
        <xdr:spPr>
          <a:xfrm>
            <a:off x="17202511" y="8008189"/>
            <a:ext cx="812320" cy="2300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100" b="1"/>
              <a:t>6/1~6/30</a:t>
            </a:r>
            <a:endParaRPr lang="zh-TW" altLang="en-US" sz="1100" b="1"/>
          </a:p>
        </xdr:txBody>
      </xdr:sp>
    </xdr:grpSp>
    <xdr:clientData/>
  </xdr:twoCellAnchor>
  <xdr:twoCellAnchor>
    <xdr:from>
      <xdr:col>25</xdr:col>
      <xdr:colOff>158151</xdr:colOff>
      <xdr:row>61</xdr:row>
      <xdr:rowOff>57510</xdr:rowOff>
    </xdr:from>
    <xdr:to>
      <xdr:col>25</xdr:col>
      <xdr:colOff>165345</xdr:colOff>
      <xdr:row>74</xdr:row>
      <xdr:rowOff>71887</xdr:rowOff>
    </xdr:to>
    <xdr:cxnSp macro="">
      <xdr:nvCxnSpPr>
        <xdr:cNvPr id="22" name="直線接點 21">
          <a:extLst>
            <a:ext uri="{FF2B5EF4-FFF2-40B4-BE49-F238E27FC236}">
              <a16:creationId xmlns:a16="http://schemas.microsoft.com/office/drawing/2014/main" id="{CBB0A444-66C9-4CED-B288-62011026CD11}"/>
            </a:ext>
          </a:extLst>
        </xdr:cNvPr>
        <xdr:cNvCxnSpPr/>
      </xdr:nvCxnSpPr>
      <xdr:spPr>
        <a:xfrm>
          <a:off x="14802928" y="10348823"/>
          <a:ext cx="0" cy="2032958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265981</xdr:colOff>
      <xdr:row>66</xdr:row>
      <xdr:rowOff>150963</xdr:rowOff>
    </xdr:from>
    <xdr:to>
      <xdr:col>26</xdr:col>
      <xdr:colOff>460075</xdr:colOff>
      <xdr:row>68</xdr:row>
      <xdr:rowOff>64699</xdr:rowOff>
    </xdr:to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0FCD9ACC-470D-4045-92CE-693331D60709}"/>
            </a:ext>
          </a:extLst>
        </xdr:cNvPr>
        <xdr:cNvSpPr txBox="1"/>
      </xdr:nvSpPr>
      <xdr:spPr>
        <a:xfrm>
          <a:off x="14802928" y="11218654"/>
          <a:ext cx="0" cy="2242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1"/>
            <a:t>6/1~6/30</a:t>
          </a:r>
          <a:endParaRPr lang="zh-TW" altLang="en-US" sz="1100" b="1"/>
        </a:p>
      </xdr:txBody>
    </xdr:sp>
    <xdr:clientData/>
  </xdr:twoCellAnchor>
  <xdr:twoCellAnchor>
    <xdr:from>
      <xdr:col>47</xdr:col>
      <xdr:colOff>208472</xdr:colOff>
      <xdr:row>4</xdr:row>
      <xdr:rowOff>28754</xdr:rowOff>
    </xdr:from>
    <xdr:to>
      <xdr:col>47</xdr:col>
      <xdr:colOff>222850</xdr:colOff>
      <xdr:row>18</xdr:row>
      <xdr:rowOff>7187</xdr:rowOff>
    </xdr:to>
    <xdr:cxnSp macro="">
      <xdr:nvCxnSpPr>
        <xdr:cNvPr id="24" name="直線接點 23">
          <a:extLst>
            <a:ext uri="{FF2B5EF4-FFF2-40B4-BE49-F238E27FC236}">
              <a16:creationId xmlns:a16="http://schemas.microsoft.com/office/drawing/2014/main" id="{010CD6DD-3E2F-4D70-9E49-8C4D24A906A3}"/>
            </a:ext>
          </a:extLst>
        </xdr:cNvPr>
        <xdr:cNvCxnSpPr/>
      </xdr:nvCxnSpPr>
      <xdr:spPr>
        <a:xfrm>
          <a:off x="14802928" y="1227826"/>
          <a:ext cx="0" cy="2393829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589473</xdr:colOff>
      <xdr:row>6</xdr:row>
      <xdr:rowOff>64697</xdr:rowOff>
    </xdr:from>
    <xdr:to>
      <xdr:col>45</xdr:col>
      <xdr:colOff>165340</xdr:colOff>
      <xdr:row>7</xdr:row>
      <xdr:rowOff>122206</xdr:rowOff>
    </xdr:to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9334667E-C86B-4D30-BE0F-4979E84A7188}"/>
            </a:ext>
          </a:extLst>
        </xdr:cNvPr>
        <xdr:cNvSpPr txBox="1"/>
      </xdr:nvSpPr>
      <xdr:spPr>
        <a:xfrm>
          <a:off x="14802928" y="1643331"/>
          <a:ext cx="0" cy="2300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5/15~5/31</a:t>
          </a:r>
          <a:endParaRPr lang="zh-TW" altLang="en-US" sz="1100"/>
        </a:p>
      </xdr:txBody>
    </xdr:sp>
    <xdr:clientData/>
  </xdr:twoCellAnchor>
  <xdr:twoCellAnchor>
    <xdr:from>
      <xdr:col>51</xdr:col>
      <xdr:colOff>158152</xdr:colOff>
      <xdr:row>6</xdr:row>
      <xdr:rowOff>43132</xdr:rowOff>
    </xdr:from>
    <xdr:to>
      <xdr:col>52</xdr:col>
      <xdr:colOff>352245</xdr:colOff>
      <xdr:row>7</xdr:row>
      <xdr:rowOff>100641</xdr:rowOff>
    </xdr:to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42732673-FFF6-439B-80EC-7BF046E17298}"/>
            </a:ext>
          </a:extLst>
        </xdr:cNvPr>
        <xdr:cNvSpPr txBox="1"/>
      </xdr:nvSpPr>
      <xdr:spPr>
        <a:xfrm>
          <a:off x="14802928" y="1621766"/>
          <a:ext cx="0" cy="2300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6/1~6/30</a:t>
          </a:r>
          <a:endParaRPr lang="zh-TW" altLang="en-US" sz="1100"/>
        </a:p>
      </xdr:txBody>
    </xdr:sp>
    <xdr:clientData/>
  </xdr:twoCellAnchor>
  <xdr:twoCellAnchor>
    <xdr:from>
      <xdr:col>42</xdr:col>
      <xdr:colOff>122207</xdr:colOff>
      <xdr:row>42</xdr:row>
      <xdr:rowOff>71887</xdr:rowOff>
    </xdr:from>
    <xdr:to>
      <xdr:col>42</xdr:col>
      <xdr:colOff>143773</xdr:colOff>
      <xdr:row>56</xdr:row>
      <xdr:rowOff>0</xdr:rowOff>
    </xdr:to>
    <xdr:cxnSp macro="">
      <xdr:nvCxnSpPr>
        <xdr:cNvPr id="29" name="直線接點 28">
          <a:extLst>
            <a:ext uri="{FF2B5EF4-FFF2-40B4-BE49-F238E27FC236}">
              <a16:creationId xmlns:a16="http://schemas.microsoft.com/office/drawing/2014/main" id="{6F5B43B9-0AD3-46FB-BFE3-6477DD454E61}"/>
            </a:ext>
          </a:extLst>
        </xdr:cNvPr>
        <xdr:cNvCxnSpPr/>
      </xdr:nvCxnSpPr>
      <xdr:spPr>
        <a:xfrm>
          <a:off x="14802928" y="7412966"/>
          <a:ext cx="0" cy="21019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280358</xdr:colOff>
      <xdr:row>42</xdr:row>
      <xdr:rowOff>64698</xdr:rowOff>
    </xdr:from>
    <xdr:to>
      <xdr:col>43</xdr:col>
      <xdr:colOff>474452</xdr:colOff>
      <xdr:row>43</xdr:row>
      <xdr:rowOff>136585</xdr:rowOff>
    </xdr:to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D15637EA-D901-4CA3-A925-47E2EE7C6CFB}"/>
            </a:ext>
          </a:extLst>
        </xdr:cNvPr>
        <xdr:cNvSpPr txBox="1"/>
      </xdr:nvSpPr>
      <xdr:spPr>
        <a:xfrm>
          <a:off x="14802928" y="7405777"/>
          <a:ext cx="0" cy="2271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1"/>
            <a:t>6/1~6/30</a:t>
          </a:r>
          <a:endParaRPr lang="zh-TW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06&#21697;&#20445;&#37096;/01_&#36039;&#26009;&#24235;/23_SPC/99.%20&#26283;&#23384;&#36039;&#26009;/20260212/&#21270;&#37811;&#32218;-N2-&#38928;&#28024;-P300%20(CHEM-008).html" TargetMode="External"/><Relationship Id="rId13" Type="http://schemas.openxmlformats.org/officeDocument/2006/relationships/hyperlink" Target="../../../../06&#21697;&#20445;&#37096;/01_&#36039;&#26009;&#24235;/23_SPC/99.%20&#26283;&#23384;&#36039;&#26009;/20260212/&#21270;&#37811;&#32218;-N2-&#21270;&#37811;-pH%20(CHEM-013).html" TargetMode="External"/><Relationship Id="rId18" Type="http://schemas.openxmlformats.org/officeDocument/2006/relationships/hyperlink" Target="../../../../06&#21697;&#20445;&#37096;/01_&#36039;&#26009;&#24235;/23_SPC/99.%20&#26283;&#23384;&#36039;&#26009;/20260212/&#37709;&#37509;&#32218;-C1-&#37509;2-CuSO4&#8231;5H2O%20(CHEM-018).html" TargetMode="External"/><Relationship Id="rId3" Type="http://schemas.openxmlformats.org/officeDocument/2006/relationships/hyperlink" Target="../../../../06&#21697;&#20445;&#37096;/01_&#36039;&#26009;&#24235;/23_SPC/99.%20&#26283;&#23384;&#36039;&#26009;/20260212/&#21270;&#37811;&#32218;-N2-&#34920;&#38754;&#34389;&#29702;-NKH%20(CHEM-003).html" TargetMode="External"/><Relationship Id="rId7" Type="http://schemas.openxmlformats.org/officeDocument/2006/relationships/hyperlink" Target="../../../../06&#21697;&#20445;&#37096;/01_&#36039;&#26009;&#24235;/23_SPC/99.%20&#26283;&#23384;&#36039;&#26009;/20260212/&#21270;&#37811;&#32218;-N2-&#38651;&#33655;&#35519;&#25972;-pH%20(CHEM-007).html" TargetMode="External"/><Relationship Id="rId12" Type="http://schemas.openxmlformats.org/officeDocument/2006/relationships/hyperlink" Target="../../../../06&#21697;&#20445;&#37096;/01_&#36039;&#26009;&#24235;/23_SPC/99.%20&#26283;&#23384;&#36039;&#26009;/20260212/&#21270;&#37811;&#32218;-N2-&#21270;&#37811;-Ni%20(CHEM-012).html" TargetMode="External"/><Relationship Id="rId17" Type="http://schemas.openxmlformats.org/officeDocument/2006/relationships/hyperlink" Target="../../../../06&#21697;&#20445;&#37096;/01_&#36039;&#26009;&#24235;/23_SPC/99.%20&#26283;&#23384;&#36039;&#26009;/20260212/&#37709;&#37509;&#32218;-C1-&#37509;2-CHO%20(CHEM-017).html" TargetMode="External"/><Relationship Id="rId2" Type="http://schemas.openxmlformats.org/officeDocument/2006/relationships/hyperlink" Target="../../../../06&#21697;&#20445;&#37096;/01_&#36039;&#26009;&#24235;/23_SPC/99.%20&#26283;&#23384;&#36039;&#26009;/20260212/&#28165;&#27927;&#32218;(CN)-&#40572;&#27927;&#20108;-BCNa%20(CHEM-002).html" TargetMode="External"/><Relationship Id="rId16" Type="http://schemas.openxmlformats.org/officeDocument/2006/relationships/hyperlink" Target="../../../../06&#21697;&#20445;&#37096;/01_&#36039;&#26009;&#24235;/23_SPC/99.%20&#26283;&#23384;&#36039;&#26009;/20260212/&#37709;&#37509;&#32218;-C1-&#37509;1-&#27695;&#38626;&#23376;%20(CHEM-016).html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../../../../06&#21697;&#20445;&#37096;/01_&#36039;&#26009;&#24235;/23_SPC/99.%20&#26283;&#23384;&#36039;&#26009;/20260212/&#28165;&#27927;&#32218;(CN)-&#40572;&#27927;&#19968;-BCNa%20(CHEM-001).html" TargetMode="External"/><Relationship Id="rId6" Type="http://schemas.openxmlformats.org/officeDocument/2006/relationships/hyperlink" Target="..\..\..\..\06&#21697;&#20445;&#37096;\01_&#36039;&#26009;&#24235;\23_SPC\99.%20&#26283;&#23384;&#36039;&#26009;\20260212\&#21270;&#37811;&#32218;-N2-&#38651;&#33655;&#35519;&#25972;-P200%20(CHEM-006).html" TargetMode="External"/><Relationship Id="rId11" Type="http://schemas.openxmlformats.org/officeDocument/2006/relationships/hyperlink" Target="..\..\..\..\06&#21697;&#20445;&#37096;\01_&#36039;&#26009;&#24235;\23_SPC\99.%20&#26283;&#23384;&#36039;&#26009;\20260212\&#21270;&#37811;&#32218;-N2-&#20419;&#36914;-SnCl2%20(CHEM-011).html" TargetMode="External"/><Relationship Id="rId5" Type="http://schemas.openxmlformats.org/officeDocument/2006/relationships/hyperlink" Target="../../../../06&#21697;&#20445;&#37096;/01_&#36039;&#26009;&#24235;/23_SPC/99.%20&#26283;&#23384;&#36039;&#26009;/20260212/&#21270;&#37811;&#32218;-N2-&#34920;&#38754;&#34389;&#29702;-pH%20(CHEM-005).html" TargetMode="External"/><Relationship Id="rId15" Type="http://schemas.openxmlformats.org/officeDocument/2006/relationships/hyperlink" Target="..\..\..\..\06&#21697;&#20445;&#37096;\01_&#36039;&#26009;&#24235;\23_SPC\99.%20&#26283;&#23384;&#36039;&#26009;\20260212\&#37709;&#37509;&#32218;-C1-&#37509;1-CuSO4&#8231;5H2O%20(CHEM-015).html" TargetMode="External"/><Relationship Id="rId10" Type="http://schemas.openxmlformats.org/officeDocument/2006/relationships/hyperlink" Target="../../../../06&#21697;&#20445;&#37096;/01_&#36039;&#26009;&#24235;/23_SPC/99.%20&#26283;&#23384;&#36039;&#26009;/20260212/&#21270;&#37811;&#32218;-N2-&#20419;&#36914;-P500A%20(CHEM-010).html" TargetMode="External"/><Relationship Id="rId19" Type="http://schemas.openxmlformats.org/officeDocument/2006/relationships/hyperlink" Target="../../../../06&#21697;&#20445;&#37096;/01_&#36039;&#26009;&#24235;/23_SPC/99.%20&#26283;&#23384;&#36039;&#26009;/20260212/&#37709;&#37509;&#32218;-C1-&#37509;2-&#27695;&#38626;&#23376;%20(CHEM-019).html" TargetMode="External"/><Relationship Id="rId4" Type="http://schemas.openxmlformats.org/officeDocument/2006/relationships/hyperlink" Target="..\..\..\..\06&#21697;&#20445;&#37096;\01_&#36039;&#26009;&#24235;\23_SPC\99.%20&#26283;&#23384;&#36039;&#26009;\20260212\&#21270;&#37811;&#32218;-N2-&#34920;&#38754;&#34389;&#29702;-NCO%20(CHEM-004).html" TargetMode="External"/><Relationship Id="rId9" Type="http://schemas.openxmlformats.org/officeDocument/2006/relationships/hyperlink" Target="../../../../06&#21697;&#20445;&#37096;/01_&#36039;&#26009;&#24235;/23_SPC/99.%20&#26283;&#23384;&#36039;&#26009;/20260212/&#21270;&#37811;&#32218;-N2-&#20652;&#21270;-P400%20(CHEM-009).html" TargetMode="External"/><Relationship Id="rId14" Type="http://schemas.openxmlformats.org/officeDocument/2006/relationships/hyperlink" Target="../../../../06&#21697;&#20445;&#37096;/01_&#36039;&#26009;&#24235;/23_SPC/99.%20&#26283;&#23384;&#36039;&#26009;/20260212/&#37709;&#37509;&#32218;-C1-&#37509;1-CHO%20(CHEM-014)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DBBF-8BE5-477F-9004-5E2AF9E3B5F8}">
  <sheetPr filterMode="1">
    <tabColor theme="7" tint="0.79998168889431442"/>
  </sheetPr>
  <dimension ref="A1:W78"/>
  <sheetViews>
    <sheetView showGridLines="0" zoomScale="110" zoomScaleNormal="110" workbookViewId="0">
      <pane xSplit="6" ySplit="2" topLeftCell="G5" activePane="bottomRight" state="frozen"/>
      <selection pane="topRight" activeCell="G1" sqref="G1"/>
      <selection pane="bottomLeft" activeCell="A3" sqref="A3"/>
      <selection pane="bottomRight" activeCell="E53" sqref="E53:E56"/>
    </sheetView>
  </sheetViews>
  <sheetFormatPr defaultRowHeight="12.75"/>
  <cols>
    <col min="1" max="1" width="2.85546875" customWidth="1"/>
    <col min="2" max="2" width="13.7109375" customWidth="1"/>
    <col min="3" max="3" width="10.85546875" customWidth="1"/>
    <col min="4" max="4" width="22.85546875" hidden="1" customWidth="1"/>
    <col min="5" max="5" width="33.140625" style="17" customWidth="1"/>
    <col min="6" max="6" width="10.85546875" hidden="1" customWidth="1"/>
    <col min="7" max="7" width="12.5703125" customWidth="1"/>
    <col min="8" max="9" width="9.42578125" customWidth="1"/>
    <col min="10" max="10" width="9.42578125" hidden="1" customWidth="1"/>
    <col min="11" max="11" width="9.7109375" hidden="1" customWidth="1"/>
    <col min="12" max="12" width="15.7109375" hidden="1" customWidth="1"/>
    <col min="13" max="14" width="11.7109375" customWidth="1"/>
    <col min="15" max="16" width="11.7109375" hidden="1" customWidth="1"/>
    <col min="17" max="18" width="8.140625" customWidth="1"/>
    <col min="19" max="20" width="9.5703125" customWidth="1"/>
    <col min="21" max="21" width="14" customWidth="1"/>
    <col min="22" max="22" width="11.85546875" customWidth="1"/>
    <col min="23" max="23" width="31.85546875" customWidth="1"/>
    <col min="25" max="58" width="0" hidden="1" customWidth="1"/>
  </cols>
  <sheetData>
    <row r="1" spans="1:23" ht="13.5">
      <c r="G1" s="98" t="s">
        <v>175</v>
      </c>
      <c r="H1" s="99"/>
      <c r="I1" s="99"/>
      <c r="J1" s="99"/>
      <c r="K1" s="99"/>
      <c r="L1" s="99"/>
      <c r="M1" s="99"/>
      <c r="N1" s="100"/>
      <c r="Q1" s="101" t="s">
        <v>177</v>
      </c>
      <c r="R1" s="102"/>
      <c r="S1" s="103"/>
      <c r="T1" s="82"/>
      <c r="U1" s="83"/>
      <c r="V1" s="32"/>
    </row>
    <row r="2" spans="1:23" ht="54" customHeight="1">
      <c r="B2" s="1" t="s">
        <v>0</v>
      </c>
      <c r="C2" s="1" t="s">
        <v>1</v>
      </c>
      <c r="D2" s="1" t="s">
        <v>2</v>
      </c>
      <c r="E2" s="1" t="s">
        <v>3</v>
      </c>
      <c r="F2" s="18" t="s">
        <v>4</v>
      </c>
      <c r="G2" s="34" t="s">
        <v>305</v>
      </c>
      <c r="H2" s="35" t="s">
        <v>5</v>
      </c>
      <c r="I2" s="35" t="s">
        <v>6</v>
      </c>
      <c r="J2" s="35" t="s">
        <v>7</v>
      </c>
      <c r="K2" s="35" t="s">
        <v>8</v>
      </c>
      <c r="L2" s="36" t="s">
        <v>9</v>
      </c>
      <c r="M2" s="36" t="s">
        <v>10</v>
      </c>
      <c r="N2" s="37" t="s">
        <v>11</v>
      </c>
      <c r="O2" s="23" t="s">
        <v>12</v>
      </c>
      <c r="P2" s="1" t="s">
        <v>13</v>
      </c>
      <c r="Q2" s="33" t="s">
        <v>14</v>
      </c>
      <c r="R2" s="33" t="s">
        <v>277</v>
      </c>
      <c r="S2" s="92" t="s">
        <v>278</v>
      </c>
      <c r="T2" s="85" t="s">
        <v>304</v>
      </c>
      <c r="U2" s="84" t="s">
        <v>279</v>
      </c>
      <c r="V2" s="1" t="s">
        <v>15</v>
      </c>
      <c r="W2" s="1" t="s">
        <v>16</v>
      </c>
    </row>
    <row r="3" spans="1:23" ht="13.5" hidden="1">
      <c r="A3">
        <v>1</v>
      </c>
      <c r="B3" s="2" t="s">
        <v>17</v>
      </c>
      <c r="C3" s="2" t="s">
        <v>18</v>
      </c>
      <c r="D3" s="2" t="s">
        <v>19</v>
      </c>
      <c r="E3" s="3" t="s">
        <v>20</v>
      </c>
      <c r="F3" s="22" t="s">
        <v>21</v>
      </c>
      <c r="G3" s="31">
        <v>19</v>
      </c>
      <c r="H3" s="4">
        <v>0.4</v>
      </c>
      <c r="I3" s="4">
        <v>0.2</v>
      </c>
      <c r="J3" s="2"/>
      <c r="K3" s="2"/>
      <c r="L3" s="2" t="s">
        <v>22</v>
      </c>
      <c r="M3" s="4">
        <v>0</v>
      </c>
      <c r="N3" s="40">
        <f t="shared" ref="N3:N14" si="0">M3/G3</f>
        <v>0</v>
      </c>
      <c r="O3" s="27"/>
      <c r="P3" s="2"/>
      <c r="Q3" s="45">
        <v>-0.28160000000000002</v>
      </c>
      <c r="R3" s="39">
        <v>0.61229999999999996</v>
      </c>
      <c r="S3" s="93">
        <v>0.43990000000000001</v>
      </c>
      <c r="T3" s="86">
        <v>0.4002</v>
      </c>
      <c r="U3" s="39">
        <f>S3-T3</f>
        <v>3.9700000000000013E-2</v>
      </c>
      <c r="V3" s="2" t="s">
        <v>23</v>
      </c>
      <c r="W3" s="2"/>
    </row>
    <row r="4" spans="1:23" ht="13.5" hidden="1">
      <c r="A4">
        <v>2</v>
      </c>
      <c r="B4" s="2" t="s">
        <v>17</v>
      </c>
      <c r="C4" s="2" t="s">
        <v>18</v>
      </c>
      <c r="D4" s="2" t="s">
        <v>24</v>
      </c>
      <c r="E4" s="3" t="s">
        <v>25</v>
      </c>
      <c r="F4" s="22" t="s">
        <v>21</v>
      </c>
      <c r="G4" s="31">
        <v>19</v>
      </c>
      <c r="H4" s="4">
        <v>0.4</v>
      </c>
      <c r="I4" s="4">
        <v>0.2</v>
      </c>
      <c r="J4" s="2"/>
      <c r="K4" s="2"/>
      <c r="L4" s="2" t="s">
        <v>22</v>
      </c>
      <c r="M4" s="4">
        <v>0</v>
      </c>
      <c r="N4" s="40">
        <f t="shared" si="0"/>
        <v>0</v>
      </c>
      <c r="O4" s="27"/>
      <c r="P4" s="2"/>
      <c r="Q4" s="45">
        <v>-0.23619999999999999</v>
      </c>
      <c r="R4" s="39">
        <v>0.50090000000000001</v>
      </c>
      <c r="S4" s="93">
        <v>0.3826</v>
      </c>
      <c r="T4" s="86">
        <v>0.34350000000000003</v>
      </c>
      <c r="U4" s="39">
        <f t="shared" ref="U4:U14" si="1">S4-T4</f>
        <v>3.9099999999999968E-2</v>
      </c>
      <c r="V4" s="2" t="s">
        <v>26</v>
      </c>
      <c r="W4" s="2"/>
    </row>
    <row r="5" spans="1:23" ht="16.350000000000001" hidden="1" customHeight="1">
      <c r="A5">
        <v>3</v>
      </c>
      <c r="B5" s="2" t="s">
        <v>17</v>
      </c>
      <c r="C5" s="2" t="s">
        <v>27</v>
      </c>
      <c r="D5" s="2" t="s">
        <v>28</v>
      </c>
      <c r="E5" s="3" t="s">
        <v>29</v>
      </c>
      <c r="F5" s="22" t="s">
        <v>21</v>
      </c>
      <c r="G5" s="31">
        <v>15</v>
      </c>
      <c r="H5" s="43">
        <v>1.28</v>
      </c>
      <c r="I5" s="43">
        <v>0.86</v>
      </c>
      <c r="J5" s="2"/>
      <c r="K5" s="2"/>
      <c r="L5" s="2" t="s">
        <v>30</v>
      </c>
      <c r="M5" s="43">
        <v>5</v>
      </c>
      <c r="N5" s="40">
        <f t="shared" si="0"/>
        <v>0.33333333333333331</v>
      </c>
      <c r="O5" s="27"/>
      <c r="P5" s="2"/>
      <c r="Q5" s="45">
        <v>0.81279999999999997</v>
      </c>
      <c r="R5" s="39">
        <v>0.32779999999999998</v>
      </c>
      <c r="S5" s="93">
        <v>6.1400000000000003E-2</v>
      </c>
      <c r="T5" s="86">
        <v>-0.47499999999999998</v>
      </c>
      <c r="U5" s="39">
        <f t="shared" si="1"/>
        <v>0.53639999999999999</v>
      </c>
      <c r="V5" s="2" t="s">
        <v>31</v>
      </c>
      <c r="W5" s="51" t="s">
        <v>308</v>
      </c>
    </row>
    <row r="6" spans="1:23" ht="13.5" hidden="1">
      <c r="A6">
        <v>4</v>
      </c>
      <c r="B6" s="2" t="s">
        <v>17</v>
      </c>
      <c r="C6" s="2" t="s">
        <v>27</v>
      </c>
      <c r="D6" s="2" t="s">
        <v>32</v>
      </c>
      <c r="E6" s="3" t="s">
        <v>33</v>
      </c>
      <c r="F6" s="22" t="s">
        <v>21</v>
      </c>
      <c r="G6" s="31">
        <v>15</v>
      </c>
      <c r="H6" s="43">
        <v>1.28</v>
      </c>
      <c r="I6" s="43">
        <v>0.86</v>
      </c>
      <c r="J6" s="2"/>
      <c r="K6" s="2"/>
      <c r="L6" s="2" t="s">
        <v>30</v>
      </c>
      <c r="M6" s="43">
        <v>3</v>
      </c>
      <c r="N6" s="40">
        <f t="shared" si="0"/>
        <v>0.2</v>
      </c>
      <c r="O6" s="27"/>
      <c r="P6" s="2"/>
      <c r="Q6" s="45">
        <v>-0.51759999999999995</v>
      </c>
      <c r="R6" s="39">
        <v>0.55179999999999996</v>
      </c>
      <c r="S6" s="93">
        <v>0.26619999999999999</v>
      </c>
      <c r="T6" s="86">
        <v>-1.2558</v>
      </c>
      <c r="U6" s="39">
        <f t="shared" si="1"/>
        <v>1.522</v>
      </c>
      <c r="V6" s="2" t="s">
        <v>31</v>
      </c>
      <c r="W6" s="51" t="s">
        <v>308</v>
      </c>
    </row>
    <row r="7" spans="1:23" ht="13.5" hidden="1">
      <c r="A7">
        <v>5</v>
      </c>
      <c r="B7" s="2" t="s">
        <v>17</v>
      </c>
      <c r="C7" s="2" t="s">
        <v>34</v>
      </c>
      <c r="D7" s="2" t="s">
        <v>35</v>
      </c>
      <c r="E7" s="3" t="s">
        <v>36</v>
      </c>
      <c r="F7" s="22" t="s">
        <v>21</v>
      </c>
      <c r="G7" s="31">
        <v>16</v>
      </c>
      <c r="H7" s="43">
        <v>1.61</v>
      </c>
      <c r="I7" s="43">
        <v>1.1299999999999999</v>
      </c>
      <c r="J7" s="2"/>
      <c r="K7" s="2"/>
      <c r="L7" s="2" t="s">
        <v>30</v>
      </c>
      <c r="M7" s="43">
        <v>2</v>
      </c>
      <c r="N7" s="40">
        <f t="shared" si="0"/>
        <v>0.125</v>
      </c>
      <c r="O7" s="27"/>
      <c r="P7" s="2"/>
      <c r="Q7" s="4">
        <v>0.34</v>
      </c>
      <c r="R7" s="4">
        <v>0.34</v>
      </c>
      <c r="S7" s="94">
        <v>0.22</v>
      </c>
      <c r="T7" s="87">
        <v>0.06</v>
      </c>
      <c r="U7" s="39">
        <f t="shared" si="1"/>
        <v>0.16</v>
      </c>
      <c r="V7" s="2" t="s">
        <v>31</v>
      </c>
      <c r="W7" s="51" t="s">
        <v>308</v>
      </c>
    </row>
    <row r="8" spans="1:23" ht="13.5" hidden="1">
      <c r="A8">
        <v>6</v>
      </c>
      <c r="B8" s="2" t="s">
        <v>17</v>
      </c>
      <c r="C8" s="2" t="s">
        <v>34</v>
      </c>
      <c r="D8" s="2" t="s">
        <v>37</v>
      </c>
      <c r="E8" s="3" t="s">
        <v>38</v>
      </c>
      <c r="F8" s="22" t="s">
        <v>21</v>
      </c>
      <c r="G8" s="31">
        <v>16</v>
      </c>
      <c r="H8" s="43">
        <v>1.61</v>
      </c>
      <c r="I8" s="43">
        <v>1.1299999999999999</v>
      </c>
      <c r="J8" s="2"/>
      <c r="K8" s="2"/>
      <c r="L8" s="2" t="s">
        <v>30</v>
      </c>
      <c r="M8" s="43">
        <v>4</v>
      </c>
      <c r="N8" s="40">
        <f t="shared" si="0"/>
        <v>0.25</v>
      </c>
      <c r="O8" s="27"/>
      <c r="P8" s="2"/>
      <c r="Q8" s="4">
        <v>-0.56000000000000005</v>
      </c>
      <c r="R8" s="4">
        <v>0.56999999999999995</v>
      </c>
      <c r="S8" s="94">
        <v>0.25</v>
      </c>
      <c r="T8" s="87">
        <v>-0.34</v>
      </c>
      <c r="U8" s="39">
        <f t="shared" si="1"/>
        <v>0.59000000000000008</v>
      </c>
      <c r="V8" s="2" t="s">
        <v>31</v>
      </c>
      <c r="W8" s="51" t="s">
        <v>308</v>
      </c>
    </row>
    <row r="9" spans="1:23" ht="15" hidden="1">
      <c r="A9">
        <v>7</v>
      </c>
      <c r="B9" s="2" t="s">
        <v>17</v>
      </c>
      <c r="C9" s="2" t="s">
        <v>18</v>
      </c>
      <c r="D9" s="2" t="s">
        <v>39</v>
      </c>
      <c r="E9" s="3" t="s">
        <v>40</v>
      </c>
      <c r="F9" s="22" t="s">
        <v>41</v>
      </c>
      <c r="G9" s="31">
        <v>19</v>
      </c>
      <c r="H9" s="4">
        <v>0.67</v>
      </c>
      <c r="I9" s="4">
        <v>0.37</v>
      </c>
      <c r="J9" s="2"/>
      <c r="K9" s="2"/>
      <c r="L9" s="2" t="s">
        <v>30</v>
      </c>
      <c r="M9" s="43">
        <v>1</v>
      </c>
      <c r="N9" s="40">
        <f t="shared" si="0"/>
        <v>5.2631578947368418E-2</v>
      </c>
      <c r="O9" s="27"/>
      <c r="P9" s="2"/>
      <c r="Q9" s="46">
        <v>-0.24</v>
      </c>
      <c r="R9" s="4">
        <v>0.71</v>
      </c>
      <c r="S9" s="94">
        <v>0.54</v>
      </c>
      <c r="T9" s="87">
        <v>0.37</v>
      </c>
      <c r="U9" s="39">
        <f t="shared" si="1"/>
        <v>0.17000000000000004</v>
      </c>
      <c r="V9" s="2" t="s">
        <v>26</v>
      </c>
      <c r="W9" s="2"/>
    </row>
    <row r="10" spans="1:23" ht="15" hidden="1">
      <c r="A10">
        <v>8</v>
      </c>
      <c r="B10" s="2" t="s">
        <v>17</v>
      </c>
      <c r="C10" s="2" t="s">
        <v>27</v>
      </c>
      <c r="D10" s="2" t="s">
        <v>42</v>
      </c>
      <c r="E10" s="3" t="s">
        <v>43</v>
      </c>
      <c r="F10" s="22" t="s">
        <v>41</v>
      </c>
      <c r="G10" s="31">
        <v>15</v>
      </c>
      <c r="H10" s="43">
        <v>0.92</v>
      </c>
      <c r="I10" s="43">
        <v>0.62</v>
      </c>
      <c r="J10" s="2"/>
      <c r="K10" s="2"/>
      <c r="L10" s="2" t="s">
        <v>30</v>
      </c>
      <c r="M10" s="43">
        <v>3</v>
      </c>
      <c r="N10" s="40">
        <f t="shared" si="0"/>
        <v>0.2</v>
      </c>
      <c r="O10" s="27"/>
      <c r="P10" s="2"/>
      <c r="Q10" s="46">
        <v>0.16</v>
      </c>
      <c r="R10" s="4">
        <v>0.48</v>
      </c>
      <c r="S10" s="94">
        <v>0.41</v>
      </c>
      <c r="T10" s="87">
        <v>0.06</v>
      </c>
      <c r="U10" s="39">
        <f t="shared" si="1"/>
        <v>0.35</v>
      </c>
      <c r="V10" s="2" t="s">
        <v>31</v>
      </c>
      <c r="W10" s="51" t="s">
        <v>308</v>
      </c>
    </row>
    <row r="11" spans="1:23" ht="15" hidden="1">
      <c r="A11">
        <v>9</v>
      </c>
      <c r="B11" s="2" t="s">
        <v>17</v>
      </c>
      <c r="C11" s="2" t="s">
        <v>34</v>
      </c>
      <c r="D11" s="2" t="s">
        <v>44</v>
      </c>
      <c r="E11" s="3" t="s">
        <v>45</v>
      </c>
      <c r="F11" s="22" t="s">
        <v>41</v>
      </c>
      <c r="G11" s="31">
        <v>16</v>
      </c>
      <c r="H11" s="43">
        <v>1.05</v>
      </c>
      <c r="I11" s="43">
        <v>0.75</v>
      </c>
      <c r="J11" s="2"/>
      <c r="K11" s="2"/>
      <c r="L11" s="2" t="s">
        <v>30</v>
      </c>
      <c r="M11" s="46">
        <v>0</v>
      </c>
      <c r="N11" s="40">
        <f t="shared" si="0"/>
        <v>0</v>
      </c>
      <c r="O11" s="27"/>
      <c r="P11" s="2"/>
      <c r="Q11" s="4">
        <v>-0.05</v>
      </c>
      <c r="R11" s="4">
        <v>0.7</v>
      </c>
      <c r="S11" s="94">
        <v>0.67</v>
      </c>
      <c r="T11" s="87">
        <v>-0.04</v>
      </c>
      <c r="U11" s="39">
        <f t="shared" si="1"/>
        <v>0.71000000000000008</v>
      </c>
      <c r="V11" s="2" t="s">
        <v>31</v>
      </c>
      <c r="W11" s="51" t="s">
        <v>308</v>
      </c>
    </row>
    <row r="12" spans="1:23" ht="13.5" hidden="1">
      <c r="A12">
        <v>10</v>
      </c>
      <c r="B12" s="2" t="s">
        <v>17</v>
      </c>
      <c r="C12" s="2" t="s">
        <v>46</v>
      </c>
      <c r="D12" s="2" t="s">
        <v>47</v>
      </c>
      <c r="E12" s="3" t="s">
        <v>48</v>
      </c>
      <c r="F12" s="22" t="s">
        <v>21</v>
      </c>
      <c r="G12" s="31">
        <v>20</v>
      </c>
      <c r="H12" s="4">
        <v>0.4</v>
      </c>
      <c r="I12" s="4">
        <v>0.2</v>
      </c>
      <c r="J12" s="2"/>
      <c r="K12" s="2"/>
      <c r="L12" s="2" t="s">
        <v>22</v>
      </c>
      <c r="M12" s="43">
        <v>2</v>
      </c>
      <c r="N12" s="40">
        <f t="shared" si="0"/>
        <v>0.1</v>
      </c>
      <c r="O12" s="27"/>
      <c r="P12" s="2"/>
      <c r="Q12" s="39">
        <v>-0.18260000000000001</v>
      </c>
      <c r="R12" s="39">
        <v>0.43569999999999998</v>
      </c>
      <c r="S12" s="93">
        <v>0.35610000000000003</v>
      </c>
      <c r="T12" s="86">
        <v>0.36449999999999999</v>
      </c>
      <c r="U12" s="39">
        <f t="shared" si="1"/>
        <v>-8.3999999999999631E-3</v>
      </c>
      <c r="V12" s="2" t="s">
        <v>26</v>
      </c>
      <c r="W12" s="2"/>
    </row>
    <row r="13" spans="1:23" ht="13.5" hidden="1">
      <c r="A13">
        <v>11</v>
      </c>
      <c r="B13" s="2" t="s">
        <v>17</v>
      </c>
      <c r="C13" s="2" t="s">
        <v>46</v>
      </c>
      <c r="D13" s="2" t="s">
        <v>49</v>
      </c>
      <c r="E13" s="3" t="s">
        <v>50</v>
      </c>
      <c r="F13" s="22" t="s">
        <v>21</v>
      </c>
      <c r="G13" s="31">
        <v>20</v>
      </c>
      <c r="H13" s="4">
        <v>0.4</v>
      </c>
      <c r="I13" s="4">
        <v>0.2</v>
      </c>
      <c r="J13" s="2"/>
      <c r="K13" s="2"/>
      <c r="L13" s="2" t="s">
        <v>22</v>
      </c>
      <c r="M13" s="43">
        <v>3</v>
      </c>
      <c r="N13" s="40">
        <f t="shared" si="0"/>
        <v>0.15</v>
      </c>
      <c r="O13" s="27"/>
      <c r="P13" s="2"/>
      <c r="Q13" s="39">
        <v>-0.2266</v>
      </c>
      <c r="R13" s="39">
        <v>0.45600000000000002</v>
      </c>
      <c r="S13" s="93">
        <v>0.35270000000000001</v>
      </c>
      <c r="T13" s="86">
        <v>0.41249999999999998</v>
      </c>
      <c r="U13" s="39">
        <f t="shared" si="1"/>
        <v>-5.9799999999999964E-2</v>
      </c>
      <c r="V13" s="2" t="s">
        <v>26</v>
      </c>
      <c r="W13" s="2"/>
    </row>
    <row r="14" spans="1:23" ht="15" hidden="1">
      <c r="A14">
        <v>12</v>
      </c>
      <c r="B14" s="2" t="s">
        <v>17</v>
      </c>
      <c r="C14" s="2" t="s">
        <v>46</v>
      </c>
      <c r="D14" s="2" t="s">
        <v>51</v>
      </c>
      <c r="E14" s="54" t="s">
        <v>52</v>
      </c>
      <c r="F14" s="22" t="s">
        <v>41</v>
      </c>
      <c r="G14" s="31">
        <v>20</v>
      </c>
      <c r="H14" s="4">
        <v>0.56000000000000005</v>
      </c>
      <c r="I14" s="4">
        <v>0.36</v>
      </c>
      <c r="J14" s="2"/>
      <c r="K14" s="2"/>
      <c r="L14" s="2" t="s">
        <v>30</v>
      </c>
      <c r="M14" s="43">
        <v>4</v>
      </c>
      <c r="N14" s="40">
        <f t="shared" si="0"/>
        <v>0.2</v>
      </c>
      <c r="O14" s="27"/>
      <c r="P14" s="2"/>
      <c r="Q14" s="39">
        <v>-0.30499999999999999</v>
      </c>
      <c r="R14" s="39">
        <v>0.3412</v>
      </c>
      <c r="S14" s="93">
        <v>0.23719999999999999</v>
      </c>
      <c r="T14" s="86">
        <v>0.3342</v>
      </c>
      <c r="U14" s="39">
        <f t="shared" si="1"/>
        <v>-9.7000000000000003E-2</v>
      </c>
      <c r="V14" s="2" t="s">
        <v>26</v>
      </c>
      <c r="W14" s="2"/>
    </row>
    <row r="15" spans="1:23" ht="12.75" hidden="1" customHeight="1">
      <c r="A15">
        <v>13</v>
      </c>
      <c r="B15" s="5" t="s">
        <v>276</v>
      </c>
      <c r="C15" s="70" t="s">
        <v>53</v>
      </c>
      <c r="D15" s="70" t="s">
        <v>54</v>
      </c>
      <c r="E15" s="71" t="s">
        <v>283</v>
      </c>
      <c r="F15" s="72" t="s">
        <v>41</v>
      </c>
      <c r="G15" s="73">
        <v>3</v>
      </c>
      <c r="H15" s="74">
        <v>60</v>
      </c>
      <c r="I15" s="74">
        <v>30</v>
      </c>
      <c r="J15" s="74" t="s">
        <v>55</v>
      </c>
      <c r="K15" s="74" t="s">
        <v>55</v>
      </c>
      <c r="L15" s="74" t="s">
        <v>55</v>
      </c>
      <c r="M15" s="74">
        <v>0</v>
      </c>
      <c r="N15" s="75">
        <f t="shared" ref="N15:N35" si="2">M15/G15</f>
        <v>0</v>
      </c>
      <c r="O15" s="76"/>
      <c r="P15" s="74"/>
      <c r="Q15" s="47" t="s">
        <v>55</v>
      </c>
      <c r="R15" s="47" t="s">
        <v>55</v>
      </c>
      <c r="S15" s="95" t="s">
        <v>55</v>
      </c>
      <c r="T15" s="88" t="s">
        <v>55</v>
      </c>
      <c r="U15" s="47" t="s">
        <v>55</v>
      </c>
      <c r="V15" s="70" t="s">
        <v>56</v>
      </c>
      <c r="W15" s="70"/>
    </row>
    <row r="16" spans="1:23" ht="12.75" hidden="1" customHeight="1">
      <c r="A16">
        <v>14</v>
      </c>
      <c r="B16" s="5" t="s">
        <v>276</v>
      </c>
      <c r="C16" s="5" t="s">
        <v>53</v>
      </c>
      <c r="D16" s="78" t="s">
        <v>58</v>
      </c>
      <c r="E16" s="80" t="s">
        <v>285</v>
      </c>
      <c r="F16" s="20" t="s">
        <v>41</v>
      </c>
      <c r="G16" s="28">
        <v>3</v>
      </c>
      <c r="H16" s="7">
        <v>50</v>
      </c>
      <c r="I16" s="7">
        <v>30</v>
      </c>
      <c r="J16" s="8"/>
      <c r="K16" s="8"/>
      <c r="L16" s="8" t="s">
        <v>22</v>
      </c>
      <c r="M16" s="7">
        <v>0</v>
      </c>
      <c r="N16" s="41">
        <f t="shared" si="2"/>
        <v>0</v>
      </c>
      <c r="O16" s="25"/>
      <c r="P16" s="8"/>
      <c r="Q16" s="47" t="s">
        <v>55</v>
      </c>
      <c r="R16" s="47" t="s">
        <v>55</v>
      </c>
      <c r="S16" s="95" t="s">
        <v>55</v>
      </c>
      <c r="T16" s="89" t="s">
        <v>55</v>
      </c>
      <c r="U16" s="47" t="s">
        <v>55</v>
      </c>
      <c r="V16" s="5" t="s">
        <v>56</v>
      </c>
      <c r="W16" s="5"/>
    </row>
    <row r="17" spans="1:23" ht="12.75" hidden="1" customHeight="1">
      <c r="A17">
        <v>15</v>
      </c>
      <c r="B17" s="5" t="s">
        <v>276</v>
      </c>
      <c r="C17" s="5" t="s">
        <v>53</v>
      </c>
      <c r="D17" s="5" t="s">
        <v>59</v>
      </c>
      <c r="E17" s="6" t="s">
        <v>284</v>
      </c>
      <c r="F17" s="19" t="s">
        <v>41</v>
      </c>
      <c r="G17" s="28">
        <v>3</v>
      </c>
      <c r="H17" s="7">
        <v>60</v>
      </c>
      <c r="I17" s="7">
        <v>30</v>
      </c>
      <c r="J17" s="7" t="s">
        <v>55</v>
      </c>
      <c r="K17" s="7" t="s">
        <v>55</v>
      </c>
      <c r="L17" s="7" t="s">
        <v>55</v>
      </c>
      <c r="M17" s="7">
        <v>0</v>
      </c>
      <c r="N17" s="41">
        <f t="shared" si="2"/>
        <v>0</v>
      </c>
      <c r="O17" s="24"/>
      <c r="P17" s="7"/>
      <c r="Q17" s="47" t="s">
        <v>55</v>
      </c>
      <c r="R17" s="47" t="s">
        <v>55</v>
      </c>
      <c r="S17" s="95" t="s">
        <v>55</v>
      </c>
      <c r="T17" s="89" t="s">
        <v>55</v>
      </c>
      <c r="U17" s="47" t="s">
        <v>55</v>
      </c>
      <c r="V17" s="5" t="s">
        <v>56</v>
      </c>
      <c r="W17" s="5"/>
    </row>
    <row r="18" spans="1:23" ht="12.75" hidden="1" customHeight="1">
      <c r="A18">
        <v>16</v>
      </c>
      <c r="B18" s="5" t="s">
        <v>276</v>
      </c>
      <c r="C18" s="5" t="s">
        <v>53</v>
      </c>
      <c r="D18" s="78" t="s">
        <v>60</v>
      </c>
      <c r="E18" s="6" t="s">
        <v>286</v>
      </c>
      <c r="F18" s="20" t="s">
        <v>41</v>
      </c>
      <c r="G18" s="28">
        <v>3</v>
      </c>
      <c r="H18" s="7">
        <v>50</v>
      </c>
      <c r="I18" s="7">
        <v>30</v>
      </c>
      <c r="J18" s="8"/>
      <c r="K18" s="8"/>
      <c r="L18" s="8" t="s">
        <v>22</v>
      </c>
      <c r="M18" s="7">
        <v>0</v>
      </c>
      <c r="N18" s="41">
        <f t="shared" si="2"/>
        <v>0</v>
      </c>
      <c r="O18" s="25"/>
      <c r="P18" s="8"/>
      <c r="Q18" s="47" t="s">
        <v>55</v>
      </c>
      <c r="R18" s="47" t="s">
        <v>55</v>
      </c>
      <c r="S18" s="95" t="s">
        <v>55</v>
      </c>
      <c r="T18" s="89" t="s">
        <v>55</v>
      </c>
      <c r="U18" s="47" t="s">
        <v>55</v>
      </c>
      <c r="V18" s="5" t="s">
        <v>56</v>
      </c>
      <c r="W18" s="5"/>
    </row>
    <row r="19" spans="1:23" ht="12.75" hidden="1" customHeight="1">
      <c r="A19">
        <v>17</v>
      </c>
      <c r="B19" s="8" t="s">
        <v>275</v>
      </c>
      <c r="C19" s="8" t="s">
        <v>61</v>
      </c>
      <c r="D19" s="78" t="s">
        <v>62</v>
      </c>
      <c r="E19" s="9" t="s">
        <v>287</v>
      </c>
      <c r="F19" s="20" t="s">
        <v>41</v>
      </c>
      <c r="G19" s="29">
        <v>24</v>
      </c>
      <c r="H19" s="10">
        <v>22</v>
      </c>
      <c r="I19" s="10">
        <v>18</v>
      </c>
      <c r="J19" s="8"/>
      <c r="K19" s="8"/>
      <c r="L19" s="8" t="s">
        <v>22</v>
      </c>
      <c r="M19" s="10">
        <v>0</v>
      </c>
      <c r="N19" s="44">
        <f t="shared" si="2"/>
        <v>0</v>
      </c>
      <c r="O19" s="25"/>
      <c r="P19" s="8"/>
      <c r="Q19" s="48">
        <v>0.10250000000000092</v>
      </c>
      <c r="R19" s="48">
        <v>1.0954527355776076</v>
      </c>
      <c r="S19" s="96">
        <v>0.98316883018090184</v>
      </c>
      <c r="T19" s="90">
        <v>0.98635791265317641</v>
      </c>
      <c r="U19" s="48">
        <f>S19-T19</f>
        <v>-3.1890824722745625E-3</v>
      </c>
      <c r="V19" s="8" t="s">
        <v>56</v>
      </c>
      <c r="W19" s="8"/>
    </row>
    <row r="20" spans="1:23" ht="12.75" hidden="1" customHeight="1">
      <c r="A20">
        <v>18</v>
      </c>
      <c r="B20" s="5" t="s">
        <v>276</v>
      </c>
      <c r="C20" s="5" t="s">
        <v>61</v>
      </c>
      <c r="D20" s="78" t="s">
        <v>63</v>
      </c>
      <c r="E20" s="79" t="s">
        <v>288</v>
      </c>
      <c r="F20" s="20" t="s">
        <v>41</v>
      </c>
      <c r="G20" s="28">
        <v>0</v>
      </c>
      <c r="H20" s="7">
        <v>9</v>
      </c>
      <c r="I20" s="7">
        <v>7</v>
      </c>
      <c r="J20" s="8"/>
      <c r="K20" s="8"/>
      <c r="L20" s="8" t="s">
        <v>22</v>
      </c>
      <c r="M20" s="7">
        <v>0</v>
      </c>
      <c r="N20" s="41" t="e">
        <f t="shared" si="2"/>
        <v>#DIV/0!</v>
      </c>
      <c r="O20" s="25"/>
      <c r="P20" s="8"/>
      <c r="Q20" s="47" t="s">
        <v>55</v>
      </c>
      <c r="R20" s="47" t="s">
        <v>55</v>
      </c>
      <c r="S20" s="95" t="s">
        <v>55</v>
      </c>
      <c r="T20" s="89" t="s">
        <v>55</v>
      </c>
      <c r="U20" s="47" t="s">
        <v>55</v>
      </c>
      <c r="V20" s="5" t="s">
        <v>56</v>
      </c>
      <c r="W20" s="5"/>
    </row>
    <row r="21" spans="1:23" ht="12.75" hidden="1" customHeight="1">
      <c r="A21">
        <v>19</v>
      </c>
      <c r="B21" s="5" t="s">
        <v>276</v>
      </c>
      <c r="C21" s="5" t="s">
        <v>61</v>
      </c>
      <c r="D21" s="78" t="s">
        <v>64</v>
      </c>
      <c r="E21" s="80" t="s">
        <v>65</v>
      </c>
      <c r="F21" s="20" t="s">
        <v>41</v>
      </c>
      <c r="G21" s="28">
        <v>0</v>
      </c>
      <c r="H21" s="7">
        <v>13.8</v>
      </c>
      <c r="I21" s="7">
        <v>12.8</v>
      </c>
      <c r="J21" s="8"/>
      <c r="K21" s="8"/>
      <c r="L21" s="8" t="s">
        <v>22</v>
      </c>
      <c r="M21" s="7">
        <v>0</v>
      </c>
      <c r="N21" s="41" t="e">
        <f t="shared" si="2"/>
        <v>#DIV/0!</v>
      </c>
      <c r="O21" s="25"/>
      <c r="P21" s="8"/>
      <c r="Q21" s="47" t="s">
        <v>55</v>
      </c>
      <c r="R21" s="47" t="s">
        <v>55</v>
      </c>
      <c r="S21" s="95" t="s">
        <v>55</v>
      </c>
      <c r="T21" s="89" t="s">
        <v>55</v>
      </c>
      <c r="U21" s="47" t="s">
        <v>55</v>
      </c>
      <c r="V21" s="5" t="s">
        <v>56</v>
      </c>
      <c r="W21" s="81"/>
    </row>
    <row r="22" spans="1:23" ht="12.75" hidden="1" customHeight="1">
      <c r="A22">
        <v>20</v>
      </c>
      <c r="B22" s="8" t="s">
        <v>275</v>
      </c>
      <c r="C22" s="8" t="s">
        <v>61</v>
      </c>
      <c r="D22" s="78" t="s">
        <v>66</v>
      </c>
      <c r="E22" s="9" t="s">
        <v>67</v>
      </c>
      <c r="F22" s="20" t="s">
        <v>41</v>
      </c>
      <c r="G22" s="29">
        <v>24</v>
      </c>
      <c r="H22" s="10">
        <v>165</v>
      </c>
      <c r="I22" s="10">
        <v>135</v>
      </c>
      <c r="J22" s="8"/>
      <c r="K22" s="8"/>
      <c r="L22" s="8" t="s">
        <v>22</v>
      </c>
      <c r="M22" s="52">
        <v>2</v>
      </c>
      <c r="N22" s="44">
        <f t="shared" si="2"/>
        <v>8.3333333333333329E-2</v>
      </c>
      <c r="O22" s="25"/>
      <c r="P22" s="8"/>
      <c r="Q22" s="48">
        <v>0.43091666666666317</v>
      </c>
      <c r="R22" s="48">
        <v>0.82202142202968964</v>
      </c>
      <c r="S22" s="96">
        <v>0.46779869092006543</v>
      </c>
      <c r="T22" s="90">
        <v>0.44886155662936861</v>
      </c>
      <c r="U22" s="48">
        <f>S22-T22</f>
        <v>1.8937134290696822E-2</v>
      </c>
      <c r="V22" s="8" t="s">
        <v>56</v>
      </c>
      <c r="W22" s="8"/>
    </row>
    <row r="23" spans="1:23" ht="12.75" hidden="1" customHeight="1">
      <c r="A23">
        <v>21</v>
      </c>
      <c r="B23" s="5" t="s">
        <v>276</v>
      </c>
      <c r="C23" s="5" t="s">
        <v>61</v>
      </c>
      <c r="D23" s="78" t="s">
        <v>68</v>
      </c>
      <c r="E23" s="6" t="s">
        <v>69</v>
      </c>
      <c r="F23" s="20" t="s">
        <v>41</v>
      </c>
      <c r="G23" s="28">
        <v>24</v>
      </c>
      <c r="H23" s="7">
        <v>11</v>
      </c>
      <c r="I23" s="7">
        <v>9.5</v>
      </c>
      <c r="J23" s="8"/>
      <c r="K23" s="8"/>
      <c r="L23" s="8" t="s">
        <v>22</v>
      </c>
      <c r="M23" s="7">
        <v>0</v>
      </c>
      <c r="N23" s="41">
        <f t="shared" si="2"/>
        <v>0</v>
      </c>
      <c r="O23" s="25"/>
      <c r="P23" s="8"/>
      <c r="Q23" s="47" t="s">
        <v>176</v>
      </c>
      <c r="R23" s="47" t="s">
        <v>176</v>
      </c>
      <c r="S23" s="95" t="s">
        <v>176</v>
      </c>
      <c r="T23" s="89" t="s">
        <v>176</v>
      </c>
      <c r="U23" s="47" t="s">
        <v>176</v>
      </c>
      <c r="V23" s="5" t="s">
        <v>56</v>
      </c>
      <c r="W23" s="5"/>
    </row>
    <row r="24" spans="1:23" ht="12.75" hidden="1" customHeight="1">
      <c r="A24">
        <v>22</v>
      </c>
      <c r="B24" s="8" t="s">
        <v>275</v>
      </c>
      <c r="C24" s="8" t="s">
        <v>61</v>
      </c>
      <c r="D24" s="78" t="s">
        <v>70</v>
      </c>
      <c r="E24" s="12" t="s">
        <v>71</v>
      </c>
      <c r="F24" s="20" t="s">
        <v>41</v>
      </c>
      <c r="G24" s="29">
        <v>24</v>
      </c>
      <c r="H24" s="10">
        <v>280</v>
      </c>
      <c r="I24" s="10">
        <v>240</v>
      </c>
      <c r="J24" s="8"/>
      <c r="K24" s="8"/>
      <c r="L24" s="8" t="s">
        <v>22</v>
      </c>
      <c r="M24" s="10">
        <v>0</v>
      </c>
      <c r="N24" s="44">
        <f t="shared" si="2"/>
        <v>0</v>
      </c>
      <c r="O24" s="25"/>
      <c r="P24" s="8"/>
      <c r="Q24" s="48">
        <v>-8.9312500000002612E-2</v>
      </c>
      <c r="R24" s="48">
        <v>1.2084758689659603</v>
      </c>
      <c r="S24" s="96">
        <v>1.1005438679189348</v>
      </c>
      <c r="T24" s="90">
        <v>0.85208635773980224</v>
      </c>
      <c r="U24" s="48" t="e">
        <f>S24-#REF!</f>
        <v>#REF!</v>
      </c>
      <c r="V24" s="8" t="s">
        <v>56</v>
      </c>
      <c r="W24" s="8"/>
    </row>
    <row r="25" spans="1:23" ht="12.75" hidden="1" customHeight="1">
      <c r="A25">
        <v>23</v>
      </c>
      <c r="B25" s="5" t="s">
        <v>276</v>
      </c>
      <c r="C25" s="5" t="s">
        <v>61</v>
      </c>
      <c r="D25" s="78" t="s">
        <v>72</v>
      </c>
      <c r="E25" s="6" t="s">
        <v>73</v>
      </c>
      <c r="F25" s="20" t="s">
        <v>41</v>
      </c>
      <c r="G25" s="28">
        <v>24</v>
      </c>
      <c r="H25" s="7" t="s">
        <v>55</v>
      </c>
      <c r="I25" s="7">
        <v>30</v>
      </c>
      <c r="J25" s="8"/>
      <c r="K25" s="8"/>
      <c r="L25" s="8" t="s">
        <v>22</v>
      </c>
      <c r="M25" s="7">
        <v>0</v>
      </c>
      <c r="N25" s="41">
        <f t="shared" si="2"/>
        <v>0</v>
      </c>
      <c r="O25" s="25"/>
      <c r="P25" s="8"/>
      <c r="Q25" s="47" t="s">
        <v>176</v>
      </c>
      <c r="R25" s="47" t="s">
        <v>176</v>
      </c>
      <c r="S25" s="95" t="s">
        <v>176</v>
      </c>
      <c r="T25" s="89" t="s">
        <v>176</v>
      </c>
      <c r="U25" s="47" t="s">
        <v>176</v>
      </c>
      <c r="V25" s="5" t="s">
        <v>56</v>
      </c>
      <c r="W25" s="5"/>
    </row>
    <row r="26" spans="1:23" ht="12.75" hidden="1" customHeight="1">
      <c r="A26">
        <v>24</v>
      </c>
      <c r="B26" s="8" t="s">
        <v>275</v>
      </c>
      <c r="C26" s="8" t="s">
        <v>61</v>
      </c>
      <c r="D26" s="5" t="s">
        <v>74</v>
      </c>
      <c r="E26" s="9" t="s">
        <v>75</v>
      </c>
      <c r="F26" s="19" t="s">
        <v>41</v>
      </c>
      <c r="G26" s="29">
        <v>23</v>
      </c>
      <c r="H26" s="10">
        <v>25</v>
      </c>
      <c r="I26" s="10">
        <v>5</v>
      </c>
      <c r="J26" s="7" t="s">
        <v>55</v>
      </c>
      <c r="K26" s="7" t="s">
        <v>55</v>
      </c>
      <c r="L26" s="7" t="s">
        <v>55</v>
      </c>
      <c r="M26" s="10">
        <v>0</v>
      </c>
      <c r="N26" s="44">
        <f t="shared" si="2"/>
        <v>0</v>
      </c>
      <c r="O26" s="24"/>
      <c r="P26" s="7"/>
      <c r="Q26" s="48">
        <v>-0.39065217391304347</v>
      </c>
      <c r="R26" s="48">
        <v>1.6754888585446017</v>
      </c>
      <c r="S26" s="48">
        <v>1.0209554935870693</v>
      </c>
      <c r="T26" s="48" t="s">
        <v>55</v>
      </c>
      <c r="U26" s="48" t="s">
        <v>306</v>
      </c>
      <c r="V26" s="8" t="s">
        <v>56</v>
      </c>
      <c r="W26" s="8" t="s">
        <v>282</v>
      </c>
    </row>
    <row r="27" spans="1:23" ht="12.75" hidden="1" customHeight="1">
      <c r="A27">
        <v>25</v>
      </c>
      <c r="B27" s="8" t="s">
        <v>275</v>
      </c>
      <c r="C27" s="8" t="s">
        <v>61</v>
      </c>
      <c r="D27" s="78" t="s">
        <v>76</v>
      </c>
      <c r="E27" s="9" t="s">
        <v>77</v>
      </c>
      <c r="F27" s="20" t="s">
        <v>41</v>
      </c>
      <c r="G27" s="29">
        <v>23</v>
      </c>
      <c r="H27" s="10">
        <v>110</v>
      </c>
      <c r="I27" s="10">
        <v>90</v>
      </c>
      <c r="J27" s="8"/>
      <c r="K27" s="8"/>
      <c r="L27" s="8" t="s">
        <v>22</v>
      </c>
      <c r="M27" s="10">
        <v>0</v>
      </c>
      <c r="N27" s="44">
        <f t="shared" si="2"/>
        <v>0</v>
      </c>
      <c r="O27" s="25"/>
      <c r="P27" s="8"/>
      <c r="Q27" s="48">
        <v>0.10691304347825933</v>
      </c>
      <c r="R27" s="48">
        <v>2.6961068244027082</v>
      </c>
      <c r="S27" s="96">
        <v>2.4078578382633098</v>
      </c>
      <c r="T27" s="90">
        <v>1.1420270305469293</v>
      </c>
      <c r="U27" s="48" t="e">
        <f>S27-#REF!</f>
        <v>#REF!</v>
      </c>
      <c r="V27" s="8" t="s">
        <v>56</v>
      </c>
      <c r="W27" s="8"/>
    </row>
    <row r="28" spans="1:23" ht="12.75" hidden="1" customHeight="1">
      <c r="A28">
        <v>26</v>
      </c>
      <c r="B28" s="5" t="s">
        <v>276</v>
      </c>
      <c r="C28" s="5" t="s">
        <v>61</v>
      </c>
      <c r="D28" s="78" t="s">
        <v>78</v>
      </c>
      <c r="E28" s="80" t="s">
        <v>79</v>
      </c>
      <c r="F28" s="20" t="s">
        <v>41</v>
      </c>
      <c r="G28" s="28">
        <v>22</v>
      </c>
      <c r="H28" s="7">
        <v>0.3</v>
      </c>
      <c r="I28" s="7" t="s">
        <v>55</v>
      </c>
      <c r="J28" s="8"/>
      <c r="K28" s="8"/>
      <c r="L28" s="8" t="s">
        <v>22</v>
      </c>
      <c r="M28" s="7">
        <v>0</v>
      </c>
      <c r="N28" s="41">
        <f t="shared" si="2"/>
        <v>0</v>
      </c>
      <c r="O28" s="25"/>
      <c r="P28" s="8"/>
      <c r="Q28" s="47" t="s">
        <v>176</v>
      </c>
      <c r="R28" s="47" t="s">
        <v>176</v>
      </c>
      <c r="S28" s="95" t="s">
        <v>176</v>
      </c>
      <c r="T28" s="89" t="s">
        <v>176</v>
      </c>
      <c r="U28" s="47" t="s">
        <v>176</v>
      </c>
      <c r="V28" s="5" t="s">
        <v>56</v>
      </c>
      <c r="W28" s="5"/>
    </row>
    <row r="29" spans="1:23" ht="12.75" hidden="1" customHeight="1">
      <c r="A29">
        <v>27</v>
      </c>
      <c r="B29" s="8" t="s">
        <v>275</v>
      </c>
      <c r="C29" s="8" t="s">
        <v>61</v>
      </c>
      <c r="D29" s="78" t="s">
        <v>80</v>
      </c>
      <c r="E29" s="9" t="s">
        <v>81</v>
      </c>
      <c r="F29" s="20" t="s">
        <v>41</v>
      </c>
      <c r="G29" s="29">
        <v>25</v>
      </c>
      <c r="H29" s="10">
        <v>5</v>
      </c>
      <c r="I29" s="10">
        <v>4.5999999999999996</v>
      </c>
      <c r="J29" s="8"/>
      <c r="K29" s="8"/>
      <c r="L29" s="8" t="s">
        <v>22</v>
      </c>
      <c r="M29" s="10">
        <v>0</v>
      </c>
      <c r="N29" s="44">
        <f t="shared" si="2"/>
        <v>0</v>
      </c>
      <c r="O29" s="25"/>
      <c r="P29" s="8"/>
      <c r="Q29" s="48">
        <v>-0.14799999999999688</v>
      </c>
      <c r="R29" s="48">
        <v>0.79096499646041596</v>
      </c>
      <c r="S29" s="96">
        <v>0.67390217698427679</v>
      </c>
      <c r="T29" s="90">
        <v>0.46192933775405493</v>
      </c>
      <c r="U29" s="48" t="e">
        <f>S29-#REF!</f>
        <v>#REF!</v>
      </c>
      <c r="V29" s="8" t="s">
        <v>56</v>
      </c>
      <c r="W29" s="8"/>
    </row>
    <row r="30" spans="1:23" ht="12.75" hidden="1" customHeight="1">
      <c r="A30">
        <v>28</v>
      </c>
      <c r="B30" s="8" t="s">
        <v>275</v>
      </c>
      <c r="C30" s="8" t="s">
        <v>61</v>
      </c>
      <c r="D30" s="5" t="s">
        <v>82</v>
      </c>
      <c r="E30" s="9" t="s">
        <v>289</v>
      </c>
      <c r="F30" s="19" t="s">
        <v>41</v>
      </c>
      <c r="G30" s="29">
        <v>1</v>
      </c>
      <c r="H30" s="10">
        <v>20</v>
      </c>
      <c r="I30" s="10">
        <v>17</v>
      </c>
      <c r="J30" s="7" t="s">
        <v>55</v>
      </c>
      <c r="K30" s="7" t="s">
        <v>55</v>
      </c>
      <c r="L30" s="7" t="s">
        <v>55</v>
      </c>
      <c r="M30" s="10">
        <v>0</v>
      </c>
      <c r="N30" s="44">
        <f t="shared" si="2"/>
        <v>0</v>
      </c>
      <c r="O30" s="24"/>
      <c r="P30" s="7"/>
      <c r="Q30" s="48" t="s">
        <v>55</v>
      </c>
      <c r="R30" s="48" t="s">
        <v>55</v>
      </c>
      <c r="S30" s="48" t="s">
        <v>55</v>
      </c>
      <c r="T30" s="48" t="s">
        <v>55</v>
      </c>
      <c r="U30" s="48" t="s">
        <v>306</v>
      </c>
      <c r="V30" s="8" t="s">
        <v>56</v>
      </c>
      <c r="W30" s="8" t="s">
        <v>281</v>
      </c>
    </row>
    <row r="31" spans="1:23" ht="12.75" hidden="1" customHeight="1">
      <c r="A31">
        <v>29</v>
      </c>
      <c r="B31" s="5" t="s">
        <v>276</v>
      </c>
      <c r="C31" s="5" t="s">
        <v>61</v>
      </c>
      <c r="D31" s="5" t="s">
        <v>83</v>
      </c>
      <c r="E31" s="6" t="s">
        <v>290</v>
      </c>
      <c r="F31" s="19" t="s">
        <v>41</v>
      </c>
      <c r="G31" s="28">
        <v>0</v>
      </c>
      <c r="H31" s="7">
        <v>100</v>
      </c>
      <c r="I31" s="7">
        <v>0</v>
      </c>
      <c r="J31" s="7" t="s">
        <v>55</v>
      </c>
      <c r="K31" s="7" t="s">
        <v>55</v>
      </c>
      <c r="L31" s="7" t="s">
        <v>55</v>
      </c>
      <c r="M31" s="7">
        <v>0</v>
      </c>
      <c r="N31" s="41" t="e">
        <f t="shared" si="2"/>
        <v>#DIV/0!</v>
      </c>
      <c r="O31" s="24"/>
      <c r="P31" s="7"/>
      <c r="Q31" s="47" t="s">
        <v>176</v>
      </c>
      <c r="R31" s="47" t="s">
        <v>176</v>
      </c>
      <c r="S31" s="95" t="s">
        <v>176</v>
      </c>
      <c r="T31" s="89" t="s">
        <v>55</v>
      </c>
      <c r="U31" s="47" t="s">
        <v>176</v>
      </c>
      <c r="V31" s="5" t="s">
        <v>56</v>
      </c>
      <c r="W31" s="5"/>
    </row>
    <row r="32" spans="1:23" ht="12.75" hidden="1" customHeight="1">
      <c r="A32">
        <v>30</v>
      </c>
      <c r="B32" s="8" t="s">
        <v>275</v>
      </c>
      <c r="C32" s="8" t="s">
        <v>61</v>
      </c>
      <c r="D32" s="78" t="s">
        <v>84</v>
      </c>
      <c r="E32" s="9" t="s">
        <v>85</v>
      </c>
      <c r="F32" s="20" t="s">
        <v>41</v>
      </c>
      <c r="G32" s="29">
        <v>25</v>
      </c>
      <c r="H32" s="10">
        <v>8.6999999999999993</v>
      </c>
      <c r="I32" s="10">
        <v>8.3000000000000007</v>
      </c>
      <c r="J32" s="8"/>
      <c r="K32" s="8"/>
      <c r="L32" s="8" t="s">
        <v>22</v>
      </c>
      <c r="M32" s="10">
        <v>0</v>
      </c>
      <c r="N32" s="44">
        <f t="shared" si="2"/>
        <v>0</v>
      </c>
      <c r="O32" s="25"/>
      <c r="P32" s="8"/>
      <c r="Q32" s="48">
        <v>-0.16800000000000875</v>
      </c>
      <c r="R32" s="48">
        <v>0.78166756705051244</v>
      </c>
      <c r="S32" s="96">
        <v>0.65034741578601951</v>
      </c>
      <c r="T32" s="90">
        <v>0.7637551989461232</v>
      </c>
      <c r="U32" s="48" t="e">
        <f>S32-#REF!</f>
        <v>#REF!</v>
      </c>
      <c r="V32" s="8" t="s">
        <v>56</v>
      </c>
      <c r="W32" s="8"/>
    </row>
    <row r="33" spans="1:23" ht="12.75" hidden="1" customHeight="1">
      <c r="A33">
        <v>31</v>
      </c>
      <c r="B33" s="8" t="s">
        <v>57</v>
      </c>
      <c r="C33" s="8" t="s">
        <v>86</v>
      </c>
      <c r="D33" s="78" t="s">
        <v>87</v>
      </c>
      <c r="E33" s="9" t="s">
        <v>291</v>
      </c>
      <c r="F33" s="20" t="s">
        <v>41</v>
      </c>
      <c r="G33" s="29">
        <v>9</v>
      </c>
      <c r="H33" s="10">
        <v>205</v>
      </c>
      <c r="I33" s="10">
        <v>165</v>
      </c>
      <c r="J33" s="8"/>
      <c r="K33" s="8"/>
      <c r="L33" s="8" t="s">
        <v>22</v>
      </c>
      <c r="M33" s="10">
        <v>0</v>
      </c>
      <c r="N33" s="44">
        <f t="shared" si="2"/>
        <v>0</v>
      </c>
      <c r="O33" s="25"/>
      <c r="P33" s="8"/>
      <c r="Q33" s="48">
        <v>1.3500000000000512E-2</v>
      </c>
      <c r="R33" s="48">
        <v>2.7322404371584645</v>
      </c>
      <c r="S33" s="96">
        <v>2.6953551912568239</v>
      </c>
      <c r="T33" s="90">
        <v>2.1643474910679905</v>
      </c>
      <c r="U33" s="48" t="e">
        <f>S33-#REF!</f>
        <v>#REF!</v>
      </c>
      <c r="V33" s="8" t="s">
        <v>56</v>
      </c>
      <c r="W33" s="8"/>
    </row>
    <row r="34" spans="1:23" ht="12.75" hidden="1" customHeight="1">
      <c r="A34">
        <v>32</v>
      </c>
      <c r="B34" s="8" t="s">
        <v>57</v>
      </c>
      <c r="C34" s="8" t="s">
        <v>86</v>
      </c>
      <c r="D34" s="78" t="s">
        <v>88</v>
      </c>
      <c r="E34" s="9" t="s">
        <v>89</v>
      </c>
      <c r="F34" s="20" t="s">
        <v>41</v>
      </c>
      <c r="G34" s="29">
        <v>2</v>
      </c>
      <c r="H34" s="10">
        <v>65</v>
      </c>
      <c r="I34" s="10">
        <v>45</v>
      </c>
      <c r="J34" s="8"/>
      <c r="K34" s="8"/>
      <c r="L34" s="8" t="s">
        <v>22</v>
      </c>
      <c r="M34" s="10">
        <v>0</v>
      </c>
      <c r="N34" s="44">
        <f t="shared" si="2"/>
        <v>0</v>
      </c>
      <c r="O34" s="25"/>
      <c r="P34" s="8"/>
      <c r="Q34" s="48">
        <v>0.21449999999999961</v>
      </c>
      <c r="R34" s="48">
        <v>2.392916349193047</v>
      </c>
      <c r="S34" s="96">
        <v>1.8796357922911393</v>
      </c>
      <c r="T34" s="90">
        <v>3.0703468341893116</v>
      </c>
      <c r="U34" s="48" t="e">
        <f>S34-#REF!</f>
        <v>#REF!</v>
      </c>
      <c r="V34" s="8" t="s">
        <v>56</v>
      </c>
      <c r="W34" s="8"/>
    </row>
    <row r="35" spans="1:23" ht="12.75" hidden="1" customHeight="1">
      <c r="A35">
        <v>33</v>
      </c>
      <c r="B35" s="8" t="s">
        <v>57</v>
      </c>
      <c r="C35" s="8" t="s">
        <v>86</v>
      </c>
      <c r="D35" s="78" t="s">
        <v>90</v>
      </c>
      <c r="E35" s="9" t="s">
        <v>91</v>
      </c>
      <c r="F35" s="20" t="s">
        <v>41</v>
      </c>
      <c r="G35" s="29">
        <v>9</v>
      </c>
      <c r="H35" s="10">
        <v>60</v>
      </c>
      <c r="I35" s="10">
        <v>30</v>
      </c>
      <c r="J35" s="8"/>
      <c r="K35" s="8"/>
      <c r="L35" s="8" t="s">
        <v>22</v>
      </c>
      <c r="M35" s="10">
        <v>0</v>
      </c>
      <c r="N35" s="44">
        <f t="shared" si="2"/>
        <v>0</v>
      </c>
      <c r="O35" s="25"/>
      <c r="P35" s="8"/>
      <c r="Q35" s="48">
        <v>-0.16940740740740759</v>
      </c>
      <c r="R35" s="48">
        <v>1.4250807014878011</v>
      </c>
      <c r="S35" s="96">
        <v>1.183661474502423</v>
      </c>
      <c r="T35" s="90">
        <v>1.0282231788344192</v>
      </c>
      <c r="U35" s="48" t="e">
        <f>S35-#REF!</f>
        <v>#REF!</v>
      </c>
      <c r="V35" s="8" t="s">
        <v>56</v>
      </c>
      <c r="W35" s="8"/>
    </row>
    <row r="36" spans="1:23" ht="12.75" hidden="1" customHeight="1">
      <c r="A36">
        <v>34</v>
      </c>
      <c r="B36" s="8" t="s">
        <v>57</v>
      </c>
      <c r="C36" s="8" t="s">
        <v>86</v>
      </c>
      <c r="D36" s="5" t="s">
        <v>92</v>
      </c>
      <c r="E36" s="9" t="s">
        <v>93</v>
      </c>
      <c r="F36" s="19" t="s">
        <v>41</v>
      </c>
      <c r="G36" s="29">
        <v>0</v>
      </c>
      <c r="H36" s="10">
        <v>20</v>
      </c>
      <c r="I36" s="10">
        <v>10</v>
      </c>
      <c r="J36" s="7" t="s">
        <v>55</v>
      </c>
      <c r="K36" s="7" t="s">
        <v>55</v>
      </c>
      <c r="L36" s="7" t="s">
        <v>55</v>
      </c>
      <c r="M36" s="10">
        <v>0</v>
      </c>
      <c r="N36" s="44" t="s">
        <v>55</v>
      </c>
      <c r="O36" s="24"/>
      <c r="P36" s="7"/>
      <c r="Q36" s="48" t="s">
        <v>176</v>
      </c>
      <c r="R36" s="48" t="s">
        <v>176</v>
      </c>
      <c r="S36" s="48" t="s">
        <v>176</v>
      </c>
      <c r="T36" s="48" t="s">
        <v>55</v>
      </c>
      <c r="U36" s="48" t="s">
        <v>306</v>
      </c>
      <c r="V36" s="8" t="s">
        <v>56</v>
      </c>
      <c r="W36" s="8" t="s">
        <v>281</v>
      </c>
    </row>
    <row r="37" spans="1:23" ht="12.75" hidden="1" customHeight="1">
      <c r="A37">
        <v>35</v>
      </c>
      <c r="B37" s="8" t="s">
        <v>57</v>
      </c>
      <c r="C37" s="8" t="s">
        <v>86</v>
      </c>
      <c r="D37" s="5" t="s">
        <v>94</v>
      </c>
      <c r="E37" s="9" t="s">
        <v>95</v>
      </c>
      <c r="F37" s="19" t="s">
        <v>41</v>
      </c>
      <c r="G37" s="29">
        <v>0</v>
      </c>
      <c r="H37" s="10">
        <v>1.5</v>
      </c>
      <c r="I37" s="10">
        <v>0.5</v>
      </c>
      <c r="J37" s="7" t="s">
        <v>55</v>
      </c>
      <c r="K37" s="7" t="s">
        <v>55</v>
      </c>
      <c r="L37" s="7" t="s">
        <v>55</v>
      </c>
      <c r="M37" s="10">
        <v>0</v>
      </c>
      <c r="N37" s="44" t="s">
        <v>55</v>
      </c>
      <c r="O37" s="24"/>
      <c r="P37" s="7"/>
      <c r="Q37" s="48" t="s">
        <v>176</v>
      </c>
      <c r="R37" s="48" t="s">
        <v>176</v>
      </c>
      <c r="S37" s="48" t="s">
        <v>176</v>
      </c>
      <c r="T37" s="48" t="s">
        <v>55</v>
      </c>
      <c r="U37" s="48" t="s">
        <v>306</v>
      </c>
      <c r="V37" s="8" t="s">
        <v>56</v>
      </c>
      <c r="W37" s="8" t="s">
        <v>281</v>
      </c>
    </row>
    <row r="38" spans="1:23" ht="12.75" hidden="1" customHeight="1">
      <c r="A38">
        <v>36</v>
      </c>
      <c r="B38" s="8" t="s">
        <v>57</v>
      </c>
      <c r="C38" s="8" t="s">
        <v>86</v>
      </c>
      <c r="D38" s="78" t="s">
        <v>96</v>
      </c>
      <c r="E38" s="9" t="s">
        <v>292</v>
      </c>
      <c r="F38" s="20" t="s">
        <v>41</v>
      </c>
      <c r="G38" s="29">
        <v>9</v>
      </c>
      <c r="H38" s="10">
        <v>170</v>
      </c>
      <c r="I38" s="10">
        <v>130</v>
      </c>
      <c r="J38" s="8"/>
      <c r="K38" s="8"/>
      <c r="L38" s="8" t="s">
        <v>22</v>
      </c>
      <c r="M38" s="10">
        <v>0</v>
      </c>
      <c r="N38" s="44">
        <f>M38/G38</f>
        <v>0</v>
      </c>
      <c r="O38" s="25"/>
      <c r="P38" s="8"/>
      <c r="Q38" s="48">
        <v>0.12472222222222058</v>
      </c>
      <c r="R38" s="48">
        <v>1.9203782872564872</v>
      </c>
      <c r="S38" s="96">
        <v>1.6808644397625561</v>
      </c>
      <c r="T38" s="90">
        <v>1.4776183089075008</v>
      </c>
      <c r="U38" s="48" t="e">
        <f>S38-#REF!</f>
        <v>#REF!</v>
      </c>
      <c r="V38" s="8" t="s">
        <v>56</v>
      </c>
      <c r="W38" s="8"/>
    </row>
    <row r="39" spans="1:23" ht="12.75" hidden="1" customHeight="1">
      <c r="A39">
        <v>37</v>
      </c>
      <c r="B39" s="8" t="s">
        <v>57</v>
      </c>
      <c r="C39" s="8" t="s">
        <v>86</v>
      </c>
      <c r="D39" s="78" t="s">
        <v>97</v>
      </c>
      <c r="E39" s="12" t="s">
        <v>98</v>
      </c>
      <c r="F39" s="20" t="s">
        <v>41</v>
      </c>
      <c r="G39" s="29">
        <v>2</v>
      </c>
      <c r="H39" s="10">
        <v>130</v>
      </c>
      <c r="I39" s="10">
        <v>110</v>
      </c>
      <c r="J39" s="8"/>
      <c r="K39" s="8"/>
      <c r="L39" s="8" t="s">
        <v>22</v>
      </c>
      <c r="M39" s="10">
        <v>0</v>
      </c>
      <c r="N39" s="44">
        <f>M39/G39</f>
        <v>0</v>
      </c>
      <c r="O39" s="25"/>
      <c r="P39" s="8"/>
      <c r="Q39" s="48">
        <v>-4.0500000000000112E-2</v>
      </c>
      <c r="R39" s="48">
        <v>2.277316525560547</v>
      </c>
      <c r="S39" s="96">
        <v>2.1850852062753447</v>
      </c>
      <c r="T39" s="90">
        <v>0.58099613115859339</v>
      </c>
      <c r="U39" s="48" t="e">
        <f>S39-#REF!</f>
        <v>#REF!</v>
      </c>
      <c r="V39" s="8" t="s">
        <v>56</v>
      </c>
      <c r="W39" s="8"/>
    </row>
    <row r="40" spans="1:23" ht="12.75" hidden="1" customHeight="1">
      <c r="A40">
        <v>38</v>
      </c>
      <c r="B40" s="8" t="s">
        <v>57</v>
      </c>
      <c r="C40" s="8" t="s">
        <v>86</v>
      </c>
      <c r="D40" s="78" t="s">
        <v>99</v>
      </c>
      <c r="E40" s="9" t="s">
        <v>100</v>
      </c>
      <c r="F40" s="20" t="s">
        <v>41</v>
      </c>
      <c r="G40" s="29">
        <v>9</v>
      </c>
      <c r="H40" s="10">
        <v>60</v>
      </c>
      <c r="I40" s="10">
        <v>30</v>
      </c>
      <c r="J40" s="8"/>
      <c r="K40" s="8"/>
      <c r="L40" s="8" t="s">
        <v>22</v>
      </c>
      <c r="M40" s="10">
        <v>0</v>
      </c>
      <c r="N40" s="44">
        <f>M40/G40</f>
        <v>0</v>
      </c>
      <c r="O40" s="25"/>
      <c r="P40" s="8"/>
      <c r="Q40" s="48">
        <v>-0.13111111111111123</v>
      </c>
      <c r="R40" s="48">
        <v>1.2872486416759574</v>
      </c>
      <c r="S40" s="96">
        <v>1.1184760419895541</v>
      </c>
      <c r="T40" s="90">
        <v>0.85502187099465166</v>
      </c>
      <c r="U40" s="48" t="e">
        <f>S40-#REF!</f>
        <v>#REF!</v>
      </c>
      <c r="V40" s="8" t="s">
        <v>56</v>
      </c>
      <c r="W40" s="8"/>
    </row>
    <row r="41" spans="1:23" ht="12.75" hidden="1" customHeight="1">
      <c r="A41">
        <v>39</v>
      </c>
      <c r="B41" s="8" t="s">
        <v>57</v>
      </c>
      <c r="C41" s="8" t="s">
        <v>86</v>
      </c>
      <c r="D41" s="5" t="s">
        <v>101</v>
      </c>
      <c r="E41" s="9" t="s">
        <v>102</v>
      </c>
      <c r="F41" s="19" t="s">
        <v>41</v>
      </c>
      <c r="G41" s="29">
        <v>0</v>
      </c>
      <c r="H41" s="10">
        <v>20</v>
      </c>
      <c r="I41" s="10">
        <v>10</v>
      </c>
      <c r="J41" s="7" t="s">
        <v>55</v>
      </c>
      <c r="K41" s="7" t="s">
        <v>55</v>
      </c>
      <c r="L41" s="7" t="s">
        <v>55</v>
      </c>
      <c r="M41" s="10">
        <v>0</v>
      </c>
      <c r="N41" s="44" t="s">
        <v>55</v>
      </c>
      <c r="O41" s="24"/>
      <c r="P41" s="7"/>
      <c r="Q41" s="48" t="s">
        <v>55</v>
      </c>
      <c r="R41" s="48" t="s">
        <v>55</v>
      </c>
      <c r="S41" s="48" t="s">
        <v>55</v>
      </c>
      <c r="T41" s="48" t="s">
        <v>55</v>
      </c>
      <c r="U41" s="48" t="s">
        <v>306</v>
      </c>
      <c r="V41" s="8" t="s">
        <v>56</v>
      </c>
      <c r="W41" s="8" t="s">
        <v>281</v>
      </c>
    </row>
    <row r="42" spans="1:23" ht="12.75" hidden="1" customHeight="1">
      <c r="A42">
        <v>40</v>
      </c>
      <c r="B42" s="8" t="s">
        <v>57</v>
      </c>
      <c r="C42" s="8" t="s">
        <v>86</v>
      </c>
      <c r="D42" s="5" t="s">
        <v>103</v>
      </c>
      <c r="E42" s="9" t="s">
        <v>104</v>
      </c>
      <c r="F42" s="19" t="s">
        <v>41</v>
      </c>
      <c r="G42" s="29">
        <v>0</v>
      </c>
      <c r="H42" s="10">
        <v>1.5</v>
      </c>
      <c r="I42" s="10">
        <v>0.5</v>
      </c>
      <c r="J42" s="7" t="s">
        <v>55</v>
      </c>
      <c r="K42" s="7" t="s">
        <v>55</v>
      </c>
      <c r="L42" s="7" t="s">
        <v>55</v>
      </c>
      <c r="M42" s="10">
        <v>0</v>
      </c>
      <c r="N42" s="44" t="s">
        <v>55</v>
      </c>
      <c r="O42" s="24"/>
      <c r="P42" s="7"/>
      <c r="Q42" s="48" t="s">
        <v>55</v>
      </c>
      <c r="R42" s="48" t="s">
        <v>55</v>
      </c>
      <c r="S42" s="48" t="s">
        <v>55</v>
      </c>
      <c r="T42" s="48" t="s">
        <v>55</v>
      </c>
      <c r="U42" s="48" t="s">
        <v>306</v>
      </c>
      <c r="V42" s="8" t="s">
        <v>56</v>
      </c>
      <c r="W42" s="8" t="s">
        <v>281</v>
      </c>
    </row>
    <row r="43" spans="1:23" ht="12.75" hidden="1" customHeight="1">
      <c r="A43">
        <v>41</v>
      </c>
      <c r="B43" s="5" t="s">
        <v>276</v>
      </c>
      <c r="C43" s="5" t="s">
        <v>105</v>
      </c>
      <c r="D43" s="8" t="s">
        <v>106</v>
      </c>
      <c r="E43" s="6" t="s">
        <v>293</v>
      </c>
      <c r="F43" s="20" t="s">
        <v>41</v>
      </c>
      <c r="G43" s="28">
        <v>21</v>
      </c>
      <c r="H43" s="7">
        <v>4</v>
      </c>
      <c r="I43" s="7">
        <v>2</v>
      </c>
      <c r="J43" s="8"/>
      <c r="K43" s="8"/>
      <c r="L43" s="8"/>
      <c r="M43" s="7"/>
      <c r="N43" s="41">
        <f>M43/G43</f>
        <v>0</v>
      </c>
      <c r="O43" s="25"/>
      <c r="P43" s="8"/>
      <c r="Q43" s="47" t="s">
        <v>55</v>
      </c>
      <c r="R43" s="47" t="s">
        <v>55</v>
      </c>
      <c r="S43" s="95" t="s">
        <v>55</v>
      </c>
      <c r="T43" s="89" t="s">
        <v>55</v>
      </c>
      <c r="U43" s="47" t="s">
        <v>176</v>
      </c>
      <c r="V43" s="5" t="s">
        <v>26</v>
      </c>
      <c r="W43" s="5"/>
    </row>
    <row r="44" spans="1:23" ht="12.75" hidden="1" customHeight="1">
      <c r="A44">
        <v>42</v>
      </c>
      <c r="B44" s="8" t="s">
        <v>275</v>
      </c>
      <c r="C44" s="8" t="s">
        <v>105</v>
      </c>
      <c r="D44" s="5" t="s">
        <v>107</v>
      </c>
      <c r="E44" s="9" t="s">
        <v>108</v>
      </c>
      <c r="F44" s="19" t="s">
        <v>41</v>
      </c>
      <c r="G44" s="29">
        <v>16</v>
      </c>
      <c r="H44" s="10">
        <v>42</v>
      </c>
      <c r="I44" s="10" t="s">
        <v>55</v>
      </c>
      <c r="J44" s="7" t="s">
        <v>55</v>
      </c>
      <c r="K44" s="7" t="s">
        <v>55</v>
      </c>
      <c r="L44" s="7" t="s">
        <v>55</v>
      </c>
      <c r="M44" s="10">
        <v>0</v>
      </c>
      <c r="N44" s="44">
        <f t="shared" ref="N44:N72" si="3">M44/G44</f>
        <v>0</v>
      </c>
      <c r="O44" s="24"/>
      <c r="P44" s="7"/>
      <c r="Q44" s="48" t="s">
        <v>55</v>
      </c>
      <c r="R44" s="48" t="s">
        <v>176</v>
      </c>
      <c r="S44" s="48">
        <v>1.1453807263560754</v>
      </c>
      <c r="T44" s="48" t="s">
        <v>55</v>
      </c>
      <c r="U44" s="48" t="s">
        <v>306</v>
      </c>
      <c r="V44" s="8" t="s">
        <v>26</v>
      </c>
      <c r="W44" s="8" t="s">
        <v>281</v>
      </c>
    </row>
    <row r="45" spans="1:23" ht="12.75" hidden="1" customHeight="1">
      <c r="A45">
        <v>43</v>
      </c>
      <c r="B45" s="5" t="s">
        <v>276</v>
      </c>
      <c r="C45" s="5" t="s">
        <v>105</v>
      </c>
      <c r="D45" s="5" t="s">
        <v>109</v>
      </c>
      <c r="E45" s="6" t="s">
        <v>110</v>
      </c>
      <c r="F45" s="19" t="s">
        <v>41</v>
      </c>
      <c r="G45" s="28">
        <v>16</v>
      </c>
      <c r="H45" s="7">
        <v>1.1499999999999999</v>
      </c>
      <c r="I45" s="7">
        <v>1.05</v>
      </c>
      <c r="J45" s="7" t="s">
        <v>55</v>
      </c>
      <c r="K45" s="7" t="s">
        <v>55</v>
      </c>
      <c r="L45" s="7" t="s">
        <v>55</v>
      </c>
      <c r="M45" s="7">
        <v>0</v>
      </c>
      <c r="N45" s="41">
        <f t="shared" si="3"/>
        <v>0</v>
      </c>
      <c r="O45" s="24"/>
      <c r="P45" s="7"/>
      <c r="Q45" s="47" t="s">
        <v>176</v>
      </c>
      <c r="R45" s="47" t="s">
        <v>176</v>
      </c>
      <c r="S45" s="95" t="s">
        <v>176</v>
      </c>
      <c r="T45" s="89" t="s">
        <v>55</v>
      </c>
      <c r="U45" s="47" t="s">
        <v>176</v>
      </c>
      <c r="V45" s="5" t="s">
        <v>26</v>
      </c>
      <c r="W45" s="5"/>
    </row>
    <row r="46" spans="1:23" ht="12.75" hidden="1" customHeight="1">
      <c r="A46">
        <v>44</v>
      </c>
      <c r="B46" s="8" t="s">
        <v>275</v>
      </c>
      <c r="C46" s="8" t="s">
        <v>105</v>
      </c>
      <c r="D46" s="8" t="s">
        <v>111</v>
      </c>
      <c r="E46" s="9" t="s">
        <v>112</v>
      </c>
      <c r="F46" s="20" t="s">
        <v>41</v>
      </c>
      <c r="G46" s="29">
        <v>14</v>
      </c>
      <c r="H46" s="10">
        <v>4</v>
      </c>
      <c r="I46" s="10">
        <v>2</v>
      </c>
      <c r="J46" s="8"/>
      <c r="K46" s="8"/>
      <c r="L46" s="8" t="s">
        <v>22</v>
      </c>
      <c r="M46" s="10">
        <v>0</v>
      </c>
      <c r="N46" s="44">
        <f t="shared" si="3"/>
        <v>0</v>
      </c>
      <c r="O46" s="25"/>
      <c r="P46" s="8"/>
      <c r="Q46" s="48">
        <v>-3.2142857142857029E-2</v>
      </c>
      <c r="R46" s="48">
        <v>1.315848931764273</v>
      </c>
      <c r="S46" s="96">
        <v>1.2735537875289928</v>
      </c>
      <c r="T46" s="90">
        <v>2.4507219073805517</v>
      </c>
      <c r="U46" s="48">
        <f>S46-T46</f>
        <v>-1.1771681198515589</v>
      </c>
      <c r="V46" s="8" t="s">
        <v>26</v>
      </c>
      <c r="W46" s="8"/>
    </row>
    <row r="47" spans="1:23" ht="12.75" hidden="1" customHeight="1">
      <c r="A47">
        <v>45</v>
      </c>
      <c r="B47" s="5" t="s">
        <v>276</v>
      </c>
      <c r="C47" s="5" t="s">
        <v>105</v>
      </c>
      <c r="D47" s="5" t="s">
        <v>113</v>
      </c>
      <c r="E47" s="6" t="s">
        <v>114</v>
      </c>
      <c r="F47" s="19" t="s">
        <v>41</v>
      </c>
      <c r="G47" s="28">
        <v>14</v>
      </c>
      <c r="H47" s="7">
        <v>300</v>
      </c>
      <c r="I47" s="7" t="s">
        <v>55</v>
      </c>
      <c r="J47" s="7" t="s">
        <v>55</v>
      </c>
      <c r="K47" s="7" t="s">
        <v>55</v>
      </c>
      <c r="L47" s="7" t="s">
        <v>55</v>
      </c>
      <c r="M47" s="7">
        <v>0</v>
      </c>
      <c r="N47" s="41">
        <f t="shared" si="3"/>
        <v>0</v>
      </c>
      <c r="O47" s="24"/>
      <c r="P47" s="7"/>
      <c r="Q47" s="47" t="s">
        <v>176</v>
      </c>
      <c r="R47" s="47" t="s">
        <v>176</v>
      </c>
      <c r="S47" s="95" t="s">
        <v>176</v>
      </c>
      <c r="T47" s="89" t="s">
        <v>55</v>
      </c>
      <c r="U47" s="47" t="s">
        <v>176</v>
      </c>
      <c r="V47" s="5" t="s">
        <v>26</v>
      </c>
      <c r="W47" s="5"/>
    </row>
    <row r="48" spans="1:23" ht="12.75" hidden="1" customHeight="1">
      <c r="A48">
        <v>46</v>
      </c>
      <c r="B48" s="5" t="s">
        <v>276</v>
      </c>
      <c r="C48" s="5" t="s">
        <v>105</v>
      </c>
      <c r="D48" s="5" t="s">
        <v>115</v>
      </c>
      <c r="E48" s="6" t="s">
        <v>116</v>
      </c>
      <c r="F48" s="19" t="s">
        <v>41</v>
      </c>
      <c r="G48" s="28">
        <v>21</v>
      </c>
      <c r="H48" s="7" t="s">
        <v>55</v>
      </c>
      <c r="I48" s="7">
        <v>5</v>
      </c>
      <c r="J48" s="7" t="s">
        <v>55</v>
      </c>
      <c r="K48" s="7" t="s">
        <v>55</v>
      </c>
      <c r="L48" s="7" t="s">
        <v>55</v>
      </c>
      <c r="M48" s="7">
        <v>0</v>
      </c>
      <c r="N48" s="41">
        <f t="shared" si="3"/>
        <v>0</v>
      </c>
      <c r="O48" s="24"/>
      <c r="P48" s="7"/>
      <c r="Q48" s="47" t="s">
        <v>176</v>
      </c>
      <c r="R48" s="47" t="s">
        <v>176</v>
      </c>
      <c r="S48" s="95" t="s">
        <v>176</v>
      </c>
      <c r="T48" s="89" t="s">
        <v>55</v>
      </c>
      <c r="U48" s="47" t="s">
        <v>176</v>
      </c>
      <c r="V48" s="5" t="s">
        <v>26</v>
      </c>
      <c r="W48" s="5"/>
    </row>
    <row r="49" spans="1:23" ht="12.75" hidden="1" customHeight="1">
      <c r="A49">
        <v>47</v>
      </c>
      <c r="B49" s="8" t="s">
        <v>275</v>
      </c>
      <c r="C49" s="8" t="s">
        <v>117</v>
      </c>
      <c r="D49" s="8" t="s">
        <v>118</v>
      </c>
      <c r="E49" s="9" t="s">
        <v>119</v>
      </c>
      <c r="F49" s="20" t="s">
        <v>41</v>
      </c>
      <c r="G49" s="29">
        <v>21</v>
      </c>
      <c r="H49" s="10">
        <v>1.2</v>
      </c>
      <c r="I49" s="10">
        <v>0.8</v>
      </c>
      <c r="J49" s="8"/>
      <c r="K49" s="8"/>
      <c r="L49" s="8" t="s">
        <v>22</v>
      </c>
      <c r="M49" s="10">
        <v>0</v>
      </c>
      <c r="N49" s="44">
        <f t="shared" si="3"/>
        <v>0</v>
      </c>
      <c r="O49" s="25"/>
      <c r="P49" s="8"/>
      <c r="Q49" s="48">
        <v>0.31428571428571367</v>
      </c>
      <c r="R49" s="48">
        <v>1.383665391100722</v>
      </c>
      <c r="S49" s="96">
        <v>0.94879912532621025</v>
      </c>
      <c r="T49" s="90">
        <v>2.1482314200124915</v>
      </c>
      <c r="U49" s="48">
        <f>S49-T49</f>
        <v>-1.1994322946862812</v>
      </c>
      <c r="V49" s="8" t="s">
        <v>26</v>
      </c>
      <c r="W49" s="8"/>
    </row>
    <row r="50" spans="1:23" ht="12.75" hidden="1" customHeight="1">
      <c r="A50">
        <v>48</v>
      </c>
      <c r="B50" s="5" t="s">
        <v>276</v>
      </c>
      <c r="C50" s="5" t="s">
        <v>117</v>
      </c>
      <c r="D50" s="5" t="s">
        <v>120</v>
      </c>
      <c r="E50" s="6" t="s">
        <v>121</v>
      </c>
      <c r="F50" s="19" t="s">
        <v>41</v>
      </c>
      <c r="G50" s="28">
        <v>21</v>
      </c>
      <c r="H50" s="7" t="s">
        <v>55</v>
      </c>
      <c r="I50" s="38">
        <v>10.7</v>
      </c>
      <c r="J50" s="7" t="s">
        <v>55</v>
      </c>
      <c r="K50" s="7" t="s">
        <v>55</v>
      </c>
      <c r="L50" s="7" t="s">
        <v>55</v>
      </c>
      <c r="M50" s="7">
        <v>0</v>
      </c>
      <c r="N50" s="41">
        <f t="shared" si="3"/>
        <v>0</v>
      </c>
      <c r="O50" s="24"/>
      <c r="P50" s="7"/>
      <c r="Q50" s="47" t="s">
        <v>55</v>
      </c>
      <c r="R50" s="47" t="s">
        <v>55</v>
      </c>
      <c r="S50" s="95" t="s">
        <v>55</v>
      </c>
      <c r="T50" s="89" t="s">
        <v>55</v>
      </c>
      <c r="U50" s="47" t="s">
        <v>176</v>
      </c>
      <c r="V50" s="5" t="s">
        <v>26</v>
      </c>
      <c r="W50" s="5"/>
    </row>
    <row r="51" spans="1:23" ht="12.75" hidden="1" customHeight="1">
      <c r="A51">
        <v>49</v>
      </c>
      <c r="B51" s="8" t="s">
        <v>275</v>
      </c>
      <c r="C51" s="8" t="s">
        <v>117</v>
      </c>
      <c r="D51" s="8" t="s">
        <v>122</v>
      </c>
      <c r="E51" s="9" t="s">
        <v>123</v>
      </c>
      <c r="F51" s="20" t="s">
        <v>41</v>
      </c>
      <c r="G51" s="29">
        <v>21</v>
      </c>
      <c r="H51" s="10">
        <v>1.2</v>
      </c>
      <c r="I51" s="10">
        <v>0.8</v>
      </c>
      <c r="J51" s="8"/>
      <c r="K51" s="8"/>
      <c r="L51" s="8"/>
      <c r="M51" s="10">
        <v>0</v>
      </c>
      <c r="N51" s="44">
        <f t="shared" si="3"/>
        <v>0</v>
      </c>
      <c r="O51" s="25"/>
      <c r="P51" s="8"/>
      <c r="Q51" s="48">
        <v>0.44761904761904681</v>
      </c>
      <c r="R51" s="48">
        <v>1.8972175348647504</v>
      </c>
      <c r="S51" s="96">
        <v>1.0479868287824352</v>
      </c>
      <c r="T51" s="90">
        <v>1.1166339651478308</v>
      </c>
      <c r="U51" s="48">
        <f>S51-T51</f>
        <v>-6.8647136365395545E-2</v>
      </c>
      <c r="V51" s="8" t="s">
        <v>26</v>
      </c>
      <c r="W51" s="8"/>
    </row>
    <row r="52" spans="1:23" ht="12.75" hidden="1" customHeight="1">
      <c r="A52">
        <v>50</v>
      </c>
      <c r="B52" s="5" t="s">
        <v>276</v>
      </c>
      <c r="C52" s="5" t="s">
        <v>117</v>
      </c>
      <c r="D52" s="5" t="s">
        <v>124</v>
      </c>
      <c r="E52" s="6" t="s">
        <v>125</v>
      </c>
      <c r="F52" s="19" t="s">
        <v>41</v>
      </c>
      <c r="G52" s="28">
        <v>21</v>
      </c>
      <c r="H52" s="7" t="s">
        <v>55</v>
      </c>
      <c r="I52" s="38">
        <v>11</v>
      </c>
      <c r="J52" s="7" t="s">
        <v>55</v>
      </c>
      <c r="K52" s="7" t="s">
        <v>55</v>
      </c>
      <c r="L52" s="7" t="s">
        <v>55</v>
      </c>
      <c r="M52" s="7">
        <v>0</v>
      </c>
      <c r="N52" s="41">
        <f t="shared" si="3"/>
        <v>0</v>
      </c>
      <c r="O52" s="24"/>
      <c r="P52" s="7"/>
      <c r="Q52" s="47" t="s">
        <v>55</v>
      </c>
      <c r="R52" s="47" t="s">
        <v>55</v>
      </c>
      <c r="S52" s="95" t="s">
        <v>55</v>
      </c>
      <c r="T52" s="89" t="s">
        <v>55</v>
      </c>
      <c r="U52" s="47" t="s">
        <v>176</v>
      </c>
      <c r="V52" s="5" t="s">
        <v>26</v>
      </c>
      <c r="W52" s="5"/>
    </row>
    <row r="53" spans="1:23" ht="12.75" customHeight="1">
      <c r="A53">
        <v>51</v>
      </c>
      <c r="B53" s="8" t="s">
        <v>275</v>
      </c>
      <c r="C53" s="8" t="s">
        <v>131</v>
      </c>
      <c r="D53" s="8" t="s">
        <v>127</v>
      </c>
      <c r="E53" s="9" t="s">
        <v>298</v>
      </c>
      <c r="F53" s="20" t="s">
        <v>41</v>
      </c>
      <c r="G53" s="29">
        <v>19</v>
      </c>
      <c r="H53" s="10">
        <v>14</v>
      </c>
      <c r="I53" s="10">
        <v>10</v>
      </c>
      <c r="J53" s="8"/>
      <c r="K53" s="8"/>
      <c r="L53" s="8"/>
      <c r="M53" s="10">
        <v>0</v>
      </c>
      <c r="N53" s="44">
        <f t="shared" si="3"/>
        <v>0</v>
      </c>
      <c r="O53" s="25"/>
      <c r="P53" s="8"/>
      <c r="Q53" s="48">
        <v>-0.15210526315789519</v>
      </c>
      <c r="R53" s="48">
        <v>1.3355517229832072</v>
      </c>
      <c r="S53" s="96">
        <v>1.1324072766978661</v>
      </c>
      <c r="T53" s="90">
        <v>0.93148254870183433</v>
      </c>
      <c r="U53" s="48">
        <f t="shared" ref="U53:U54" si="4">S53-T53</f>
        <v>0.20092472799603178</v>
      </c>
      <c r="V53" s="8" t="s">
        <v>128</v>
      </c>
      <c r="W53" s="8"/>
    </row>
    <row r="54" spans="1:23" ht="12.75" customHeight="1">
      <c r="A54">
        <v>52</v>
      </c>
      <c r="B54" s="8" t="s">
        <v>275</v>
      </c>
      <c r="C54" s="8" t="s">
        <v>131</v>
      </c>
      <c r="D54" s="8" t="s">
        <v>129</v>
      </c>
      <c r="E54" s="11" t="s">
        <v>299</v>
      </c>
      <c r="F54" s="20" t="s">
        <v>41</v>
      </c>
      <c r="G54" s="29">
        <v>19</v>
      </c>
      <c r="H54" s="10">
        <v>14</v>
      </c>
      <c r="I54" s="10">
        <v>10</v>
      </c>
      <c r="J54" s="8"/>
      <c r="K54" s="8"/>
      <c r="L54" s="8"/>
      <c r="M54" s="10">
        <v>0</v>
      </c>
      <c r="N54" s="44">
        <f t="shared" si="3"/>
        <v>0</v>
      </c>
      <c r="O54" s="25"/>
      <c r="P54" s="8"/>
      <c r="Q54" s="48">
        <v>-1.0789473684210904E-2</v>
      </c>
      <c r="R54" s="48">
        <v>1.5375854935844029</v>
      </c>
      <c r="S54" s="96">
        <v>1.5209957553641495</v>
      </c>
      <c r="T54" s="90">
        <v>0.9784831882794337</v>
      </c>
      <c r="U54" s="48">
        <f t="shared" si="4"/>
        <v>0.54251256708471585</v>
      </c>
      <c r="V54" s="8" t="s">
        <v>128</v>
      </c>
      <c r="W54" s="8"/>
    </row>
    <row r="55" spans="1:23" ht="12.75" customHeight="1">
      <c r="A55">
        <v>53</v>
      </c>
      <c r="B55" s="5" t="s">
        <v>276</v>
      </c>
      <c r="C55" s="5" t="s">
        <v>131</v>
      </c>
      <c r="D55" s="8" t="s">
        <v>130</v>
      </c>
      <c r="E55" s="6" t="s">
        <v>300</v>
      </c>
      <c r="F55" s="20" t="s">
        <v>41</v>
      </c>
      <c r="G55" s="28">
        <v>0</v>
      </c>
      <c r="H55" s="7">
        <v>6</v>
      </c>
      <c r="I55" s="7">
        <v>4</v>
      </c>
      <c r="J55" s="8"/>
      <c r="K55" s="8"/>
      <c r="L55" s="8"/>
      <c r="M55" s="7">
        <v>0</v>
      </c>
      <c r="N55" s="41" t="s">
        <v>55</v>
      </c>
      <c r="O55" s="25"/>
      <c r="P55" s="8"/>
      <c r="Q55" s="47" t="s">
        <v>55</v>
      </c>
      <c r="R55" s="47" t="s">
        <v>55</v>
      </c>
      <c r="S55" s="95" t="s">
        <v>55</v>
      </c>
      <c r="T55" s="89" t="s">
        <v>55</v>
      </c>
      <c r="U55" s="47" t="s">
        <v>176</v>
      </c>
      <c r="V55" s="5" t="s">
        <v>128</v>
      </c>
      <c r="W55" s="5"/>
    </row>
    <row r="56" spans="1:23" ht="12.75" customHeight="1">
      <c r="A56">
        <v>54</v>
      </c>
      <c r="B56" s="8" t="s">
        <v>275</v>
      </c>
      <c r="C56" s="8" t="s">
        <v>131</v>
      </c>
      <c r="D56" s="8" t="s">
        <v>132</v>
      </c>
      <c r="E56" s="9" t="s">
        <v>301</v>
      </c>
      <c r="F56" s="20" t="s">
        <v>41</v>
      </c>
      <c r="G56" s="29">
        <v>19</v>
      </c>
      <c r="H56" s="10">
        <v>14</v>
      </c>
      <c r="I56" s="10">
        <v>10</v>
      </c>
      <c r="J56" s="8"/>
      <c r="K56" s="8"/>
      <c r="L56" s="8"/>
      <c r="M56" s="10">
        <v>0</v>
      </c>
      <c r="N56" s="44">
        <f t="shared" si="3"/>
        <v>0</v>
      </c>
      <c r="O56" s="25"/>
      <c r="P56" s="8"/>
      <c r="Q56" s="48">
        <v>0.35657894736842177</v>
      </c>
      <c r="R56" s="48">
        <v>1.2735740183683613</v>
      </c>
      <c r="S56" s="96">
        <v>0.81944433550279994</v>
      </c>
      <c r="T56" s="90">
        <v>0.83264363936619779</v>
      </c>
      <c r="U56" s="48">
        <f t="shared" ref="U56:U57" si="5">S56-T56</f>
        <v>-1.3199303863397849E-2</v>
      </c>
      <c r="V56" s="8" t="s">
        <v>128</v>
      </c>
      <c r="W56" s="8"/>
    </row>
    <row r="57" spans="1:23" ht="12.75" hidden="1" customHeight="1">
      <c r="A57">
        <v>55</v>
      </c>
      <c r="B57" s="8" t="s">
        <v>275</v>
      </c>
      <c r="C57" s="8" t="s">
        <v>280</v>
      </c>
      <c r="D57" s="8" t="s">
        <v>133</v>
      </c>
      <c r="E57" s="9" t="s">
        <v>302</v>
      </c>
      <c r="F57" s="20" t="s">
        <v>41</v>
      </c>
      <c r="G57" s="29">
        <v>15</v>
      </c>
      <c r="H57" s="52">
        <v>9</v>
      </c>
      <c r="I57" s="52">
        <v>5</v>
      </c>
      <c r="J57" s="8"/>
      <c r="K57" s="8"/>
      <c r="L57" s="8"/>
      <c r="M57" s="10">
        <v>0</v>
      </c>
      <c r="N57" s="44">
        <f t="shared" si="3"/>
        <v>0</v>
      </c>
      <c r="O57" s="25"/>
      <c r="P57" s="8"/>
      <c r="Q57" s="48">
        <v>0.66433333333333344</v>
      </c>
      <c r="R57" s="48">
        <v>1.7031055491155671</v>
      </c>
      <c r="S57" s="96">
        <v>0.57167576265312514</v>
      </c>
      <c r="T57" s="90">
        <v>2.411708777310571</v>
      </c>
      <c r="U57" s="48">
        <f t="shared" si="5"/>
        <v>-1.840033014657446</v>
      </c>
      <c r="V57" s="8" t="s">
        <v>128</v>
      </c>
      <c r="W57" s="50" t="s">
        <v>307</v>
      </c>
    </row>
    <row r="58" spans="1:23" ht="12.75" hidden="1" customHeight="1">
      <c r="A58">
        <v>56</v>
      </c>
      <c r="B58" s="8" t="s">
        <v>275</v>
      </c>
      <c r="C58" s="8" t="s">
        <v>280</v>
      </c>
      <c r="D58" s="5" t="s">
        <v>134</v>
      </c>
      <c r="E58" s="9" t="s">
        <v>135</v>
      </c>
      <c r="F58" s="19" t="s">
        <v>41</v>
      </c>
      <c r="G58" s="29">
        <v>21</v>
      </c>
      <c r="H58" s="10">
        <v>35</v>
      </c>
      <c r="I58" s="10">
        <v>10</v>
      </c>
      <c r="J58" s="7" t="s">
        <v>55</v>
      </c>
      <c r="K58" s="7" t="s">
        <v>55</v>
      </c>
      <c r="L58" s="7" t="s">
        <v>55</v>
      </c>
      <c r="M58" s="10">
        <v>0</v>
      </c>
      <c r="N58" s="44">
        <f t="shared" si="3"/>
        <v>0</v>
      </c>
      <c r="O58" s="24"/>
      <c r="P58" s="7"/>
      <c r="Q58" s="48">
        <v>-0.12872380952380952</v>
      </c>
      <c r="R58" s="48">
        <v>9.2773954505431249</v>
      </c>
      <c r="S58" s="48">
        <v>8.0831737656903559</v>
      </c>
      <c r="T58" s="48" t="s">
        <v>55</v>
      </c>
      <c r="U58" s="48" t="s">
        <v>306</v>
      </c>
      <c r="V58" s="8" t="s">
        <v>128</v>
      </c>
      <c r="W58" s="8" t="s">
        <v>281</v>
      </c>
    </row>
    <row r="59" spans="1:23" ht="12.75" hidden="1" customHeight="1">
      <c r="A59">
        <v>57</v>
      </c>
      <c r="B59" s="8" t="s">
        <v>275</v>
      </c>
      <c r="C59" s="8" t="s">
        <v>280</v>
      </c>
      <c r="D59" s="5" t="s">
        <v>136</v>
      </c>
      <c r="E59" s="9" t="s">
        <v>137</v>
      </c>
      <c r="F59" s="19" t="s">
        <v>41</v>
      </c>
      <c r="G59" s="29">
        <v>21</v>
      </c>
      <c r="H59" s="10">
        <v>7.5</v>
      </c>
      <c r="I59" s="10">
        <v>4.5</v>
      </c>
      <c r="J59" s="7" t="s">
        <v>55</v>
      </c>
      <c r="K59" s="7" t="s">
        <v>55</v>
      </c>
      <c r="L59" s="7" t="s">
        <v>55</v>
      </c>
      <c r="M59" s="10">
        <v>0</v>
      </c>
      <c r="N59" s="44">
        <f t="shared" si="3"/>
        <v>0</v>
      </c>
      <c r="O59" s="24"/>
      <c r="P59" s="7"/>
      <c r="Q59" s="48">
        <v>-7.2698412698413151E-2</v>
      </c>
      <c r="R59" s="48">
        <v>0.89665502945981335</v>
      </c>
      <c r="S59" s="48">
        <v>0.83146963208003599</v>
      </c>
      <c r="T59" s="48" t="s">
        <v>55</v>
      </c>
      <c r="U59" s="48" t="s">
        <v>306</v>
      </c>
      <c r="V59" s="8" t="s">
        <v>128</v>
      </c>
      <c r="W59" s="8" t="s">
        <v>282</v>
      </c>
    </row>
    <row r="60" spans="1:23" ht="12.75" hidden="1" customHeight="1">
      <c r="A60">
        <v>58</v>
      </c>
      <c r="B60" s="5" t="s">
        <v>276</v>
      </c>
      <c r="C60" s="5" t="s">
        <v>280</v>
      </c>
      <c r="D60" s="8" t="s">
        <v>138</v>
      </c>
      <c r="E60" s="6" t="s">
        <v>303</v>
      </c>
      <c r="F60" s="20" t="s">
        <v>41</v>
      </c>
      <c r="G60" s="28">
        <v>21</v>
      </c>
      <c r="H60" s="7">
        <v>6</v>
      </c>
      <c r="I60" s="7">
        <v>4</v>
      </c>
      <c r="J60" s="8"/>
      <c r="K60" s="8"/>
      <c r="L60" s="8"/>
      <c r="M60" s="7">
        <v>0</v>
      </c>
      <c r="N60" s="41">
        <f t="shared" si="3"/>
        <v>0</v>
      </c>
      <c r="O60" s="25"/>
      <c r="P60" s="8"/>
      <c r="Q60" s="47" t="s">
        <v>176</v>
      </c>
      <c r="R60" s="47" t="s">
        <v>176</v>
      </c>
      <c r="S60" s="95" t="s">
        <v>176</v>
      </c>
      <c r="T60" s="89" t="s">
        <v>176</v>
      </c>
      <c r="U60" s="47" t="s">
        <v>176</v>
      </c>
      <c r="V60" s="5" t="s">
        <v>128</v>
      </c>
      <c r="W60" s="5"/>
    </row>
    <row r="61" spans="1:23" ht="12.75" hidden="1" customHeight="1">
      <c r="A61">
        <v>59</v>
      </c>
      <c r="B61" s="5" t="s">
        <v>276</v>
      </c>
      <c r="C61" s="5" t="s">
        <v>280</v>
      </c>
      <c r="D61" s="5" t="s">
        <v>139</v>
      </c>
      <c r="E61" s="6" t="s">
        <v>140</v>
      </c>
      <c r="F61" s="19" t="s">
        <v>41</v>
      </c>
      <c r="G61" s="28">
        <v>21</v>
      </c>
      <c r="H61" s="7" t="s">
        <v>55</v>
      </c>
      <c r="I61" s="7">
        <v>5</v>
      </c>
      <c r="J61" s="7" t="s">
        <v>55</v>
      </c>
      <c r="K61" s="7" t="s">
        <v>55</v>
      </c>
      <c r="L61" s="7" t="s">
        <v>55</v>
      </c>
      <c r="M61" s="7">
        <v>0</v>
      </c>
      <c r="N61" s="41">
        <f t="shared" si="3"/>
        <v>0</v>
      </c>
      <c r="O61" s="24"/>
      <c r="P61" s="7"/>
      <c r="Q61" s="47" t="s">
        <v>176</v>
      </c>
      <c r="R61" s="47" t="s">
        <v>176</v>
      </c>
      <c r="S61" s="95" t="s">
        <v>176</v>
      </c>
      <c r="T61" s="89" t="s">
        <v>176</v>
      </c>
      <c r="U61" s="47" t="s">
        <v>176</v>
      </c>
      <c r="V61" s="5" t="s">
        <v>128</v>
      </c>
      <c r="W61" s="5"/>
    </row>
    <row r="62" spans="1:23" ht="12.75" hidden="1" customHeight="1">
      <c r="A62">
        <v>60</v>
      </c>
      <c r="B62" s="8" t="s">
        <v>275</v>
      </c>
      <c r="C62" s="8" t="s">
        <v>141</v>
      </c>
      <c r="D62" s="8" t="s">
        <v>142</v>
      </c>
      <c r="E62" s="9" t="s">
        <v>295</v>
      </c>
      <c r="F62" s="20" t="s">
        <v>41</v>
      </c>
      <c r="G62" s="29">
        <v>19</v>
      </c>
      <c r="H62" s="10">
        <v>400</v>
      </c>
      <c r="I62" s="10">
        <v>150</v>
      </c>
      <c r="J62" s="8"/>
      <c r="K62" s="8"/>
      <c r="L62" s="8" t="s">
        <v>22</v>
      </c>
      <c r="M62" s="10">
        <v>0</v>
      </c>
      <c r="N62" s="44">
        <f t="shared" si="3"/>
        <v>0</v>
      </c>
      <c r="O62" s="25"/>
      <c r="P62" s="8"/>
      <c r="Q62" s="48">
        <v>-0.23439999999999964</v>
      </c>
      <c r="R62" s="48">
        <v>3.6232791220916001</v>
      </c>
      <c r="S62" s="96">
        <v>2.7739824958733306</v>
      </c>
      <c r="T62" s="90">
        <v>3.934661529930183</v>
      </c>
      <c r="U62" s="48">
        <f t="shared" ref="U62:U65" si="6">S62-T62</f>
        <v>-1.1606790340568525</v>
      </c>
      <c r="V62" s="8" t="s">
        <v>143</v>
      </c>
      <c r="W62" s="8"/>
    </row>
    <row r="63" spans="1:23" ht="12.75" hidden="1" customHeight="1">
      <c r="A63">
        <v>61</v>
      </c>
      <c r="B63" s="8" t="s">
        <v>275</v>
      </c>
      <c r="C63" s="8" t="s">
        <v>141</v>
      </c>
      <c r="D63" s="8" t="s">
        <v>144</v>
      </c>
      <c r="E63" s="9" t="s">
        <v>145</v>
      </c>
      <c r="F63" s="20" t="s">
        <v>41</v>
      </c>
      <c r="G63" s="29">
        <v>19</v>
      </c>
      <c r="H63" s="10">
        <v>0.8</v>
      </c>
      <c r="I63" s="10">
        <v>0.3</v>
      </c>
      <c r="J63" s="8"/>
      <c r="K63" s="8"/>
      <c r="L63" s="8"/>
      <c r="M63" s="10">
        <v>0</v>
      </c>
      <c r="N63" s="44">
        <f t="shared" si="3"/>
        <v>0</v>
      </c>
      <c r="O63" s="25"/>
      <c r="P63" s="8"/>
      <c r="Q63" s="48">
        <v>-0.46105263157894805</v>
      </c>
      <c r="R63" s="48">
        <v>0.61390263723084204</v>
      </c>
      <c r="S63" s="96">
        <v>0.33086121080230602</v>
      </c>
      <c r="T63" s="90">
        <v>0.6302900001883821</v>
      </c>
      <c r="U63" s="48">
        <f t="shared" si="6"/>
        <v>-0.29942878938607609</v>
      </c>
      <c r="V63" s="8" t="s">
        <v>143</v>
      </c>
      <c r="W63" s="8"/>
    </row>
    <row r="64" spans="1:23" ht="12.75" hidden="1" customHeight="1">
      <c r="A64">
        <v>62</v>
      </c>
      <c r="B64" s="8" t="s">
        <v>275</v>
      </c>
      <c r="C64" s="8" t="s">
        <v>141</v>
      </c>
      <c r="D64" s="8" t="s">
        <v>146</v>
      </c>
      <c r="E64" s="9" t="s">
        <v>147</v>
      </c>
      <c r="F64" s="20" t="s">
        <v>41</v>
      </c>
      <c r="G64" s="29">
        <v>19</v>
      </c>
      <c r="H64" s="10">
        <v>10.199999999999999</v>
      </c>
      <c r="I64" s="10">
        <v>9.8000000000000007</v>
      </c>
      <c r="J64" s="8"/>
      <c r="K64" s="8"/>
      <c r="L64" s="8"/>
      <c r="M64" s="10">
        <v>0</v>
      </c>
      <c r="N64" s="44">
        <f t="shared" si="3"/>
        <v>0</v>
      </c>
      <c r="O64" s="25"/>
      <c r="P64" s="8"/>
      <c r="Q64" s="48">
        <v>-0.37894736842105337</v>
      </c>
      <c r="R64" s="48">
        <v>1.4691758591800259</v>
      </c>
      <c r="S64" s="96">
        <v>0.91243553359601504</v>
      </c>
      <c r="T64" s="90">
        <v>0.78534951829302213</v>
      </c>
      <c r="U64" s="48">
        <f t="shared" si="6"/>
        <v>0.12708601530299291</v>
      </c>
      <c r="V64" s="8" t="s">
        <v>143</v>
      </c>
      <c r="W64" s="8"/>
    </row>
    <row r="65" spans="1:23" ht="12.75" hidden="1" customHeight="1">
      <c r="A65">
        <v>63</v>
      </c>
      <c r="B65" s="8" t="s">
        <v>275</v>
      </c>
      <c r="C65" s="8" t="s">
        <v>141</v>
      </c>
      <c r="D65" s="8" t="s">
        <v>148</v>
      </c>
      <c r="E65" s="12" t="s">
        <v>296</v>
      </c>
      <c r="F65" s="20" t="s">
        <v>41</v>
      </c>
      <c r="G65" s="29">
        <v>19</v>
      </c>
      <c r="H65" s="10">
        <v>120</v>
      </c>
      <c r="I65" s="10">
        <v>80</v>
      </c>
      <c r="J65" s="8"/>
      <c r="K65" s="8"/>
      <c r="L65" s="8"/>
      <c r="M65" s="10">
        <v>0</v>
      </c>
      <c r="N65" s="44">
        <f t="shared" si="3"/>
        <v>0</v>
      </c>
      <c r="O65" s="25"/>
      <c r="P65" s="8"/>
      <c r="Q65" s="48">
        <v>-0.17592105263157903</v>
      </c>
      <c r="R65" s="48">
        <v>2.0177995666379402</v>
      </c>
      <c r="S65" s="96">
        <v>1.6628261428754496</v>
      </c>
      <c r="T65" s="90">
        <v>0.83719218907713833</v>
      </c>
      <c r="U65" s="48">
        <f t="shared" si="6"/>
        <v>0.82563395379831128</v>
      </c>
      <c r="V65" s="8" t="s">
        <v>143</v>
      </c>
      <c r="W65" s="8"/>
    </row>
    <row r="66" spans="1:23" ht="12.75" hidden="1" customHeight="1">
      <c r="A66">
        <v>64</v>
      </c>
      <c r="B66" s="5" t="s">
        <v>276</v>
      </c>
      <c r="C66" s="5" t="s">
        <v>141</v>
      </c>
      <c r="D66" s="8" t="s">
        <v>149</v>
      </c>
      <c r="E66" s="80" t="s">
        <v>297</v>
      </c>
      <c r="F66" s="20" t="s">
        <v>41</v>
      </c>
      <c r="G66" s="28">
        <v>19</v>
      </c>
      <c r="H66" s="7">
        <v>6</v>
      </c>
      <c r="I66" s="7">
        <v>4</v>
      </c>
      <c r="J66" s="8"/>
      <c r="K66" s="8"/>
      <c r="L66" s="8"/>
      <c r="M66" s="7">
        <v>0</v>
      </c>
      <c r="N66" s="41">
        <f t="shared" si="3"/>
        <v>0</v>
      </c>
      <c r="O66" s="25"/>
      <c r="P66" s="8"/>
      <c r="Q66" s="47" t="s">
        <v>176</v>
      </c>
      <c r="R66" s="47" t="s">
        <v>176</v>
      </c>
      <c r="S66" s="95" t="s">
        <v>176</v>
      </c>
      <c r="T66" s="89" t="s">
        <v>176</v>
      </c>
      <c r="U66" s="47" t="s">
        <v>176</v>
      </c>
      <c r="V66" s="5" t="s">
        <v>143</v>
      </c>
      <c r="W66" s="5"/>
    </row>
    <row r="67" spans="1:23" ht="12.75" hidden="1" customHeight="1">
      <c r="A67">
        <v>65</v>
      </c>
      <c r="B67" s="5" t="s">
        <v>276</v>
      </c>
      <c r="C67" s="5" t="s">
        <v>141</v>
      </c>
      <c r="D67" s="5" t="s">
        <v>150</v>
      </c>
      <c r="E67" s="6" t="s">
        <v>151</v>
      </c>
      <c r="F67" s="19" t="s">
        <v>41</v>
      </c>
      <c r="G67" s="28">
        <v>19</v>
      </c>
      <c r="H67" s="7" t="s">
        <v>55</v>
      </c>
      <c r="I67" s="7">
        <v>5</v>
      </c>
      <c r="J67" s="7" t="s">
        <v>55</v>
      </c>
      <c r="K67" s="7" t="s">
        <v>55</v>
      </c>
      <c r="L67" s="7" t="s">
        <v>55</v>
      </c>
      <c r="M67" s="7">
        <v>0</v>
      </c>
      <c r="N67" s="41">
        <f t="shared" si="3"/>
        <v>0</v>
      </c>
      <c r="O67" s="24"/>
      <c r="P67" s="7"/>
      <c r="Q67" s="47" t="s">
        <v>176</v>
      </c>
      <c r="R67" s="47" t="s">
        <v>176</v>
      </c>
      <c r="S67" s="95" t="s">
        <v>176</v>
      </c>
      <c r="T67" s="89" t="s">
        <v>176</v>
      </c>
      <c r="U67" s="47" t="s">
        <v>176</v>
      </c>
      <c r="V67" s="5" t="s">
        <v>143</v>
      </c>
      <c r="W67" s="5"/>
    </row>
    <row r="68" spans="1:23" ht="12.75" hidden="1" customHeight="1">
      <c r="A68">
        <v>66</v>
      </c>
      <c r="B68" s="5" t="s">
        <v>276</v>
      </c>
      <c r="C68" s="5" t="s">
        <v>152</v>
      </c>
      <c r="D68" s="8" t="s">
        <v>153</v>
      </c>
      <c r="E68" s="6" t="s">
        <v>154</v>
      </c>
      <c r="F68" s="20" t="s">
        <v>41</v>
      </c>
      <c r="G68" s="28">
        <v>6</v>
      </c>
      <c r="H68" s="7">
        <v>25</v>
      </c>
      <c r="I68" s="7">
        <v>15</v>
      </c>
      <c r="J68" s="8"/>
      <c r="K68" s="8"/>
      <c r="L68" s="8" t="s">
        <v>22</v>
      </c>
      <c r="M68" s="7">
        <v>0</v>
      </c>
      <c r="N68" s="41">
        <f t="shared" si="3"/>
        <v>0</v>
      </c>
      <c r="O68" s="25"/>
      <c r="P68" s="8"/>
      <c r="Q68" s="47" t="s">
        <v>176</v>
      </c>
      <c r="R68" s="47" t="s">
        <v>176</v>
      </c>
      <c r="S68" s="95" t="s">
        <v>176</v>
      </c>
      <c r="T68" s="89" t="s">
        <v>176</v>
      </c>
      <c r="U68" s="47" t="s">
        <v>176</v>
      </c>
      <c r="V68" s="5" t="s">
        <v>155</v>
      </c>
      <c r="W68" s="5"/>
    </row>
    <row r="69" spans="1:23" ht="12.75" hidden="1" customHeight="1">
      <c r="A69">
        <v>67</v>
      </c>
      <c r="B69" s="5" t="s">
        <v>276</v>
      </c>
      <c r="C69" s="5" t="s">
        <v>152</v>
      </c>
      <c r="D69" s="8" t="s">
        <v>158</v>
      </c>
      <c r="E69" s="6" t="s">
        <v>159</v>
      </c>
      <c r="F69" s="20" t="s">
        <v>41</v>
      </c>
      <c r="G69" s="28">
        <v>6</v>
      </c>
      <c r="H69" s="7">
        <v>8</v>
      </c>
      <c r="I69" s="7">
        <v>4</v>
      </c>
      <c r="J69" s="8"/>
      <c r="K69" s="8"/>
      <c r="L69" s="8"/>
      <c r="M69" s="7">
        <v>0</v>
      </c>
      <c r="N69" s="41">
        <f t="shared" si="3"/>
        <v>0</v>
      </c>
      <c r="O69" s="25"/>
      <c r="P69" s="8"/>
      <c r="Q69" s="47" t="s">
        <v>176</v>
      </c>
      <c r="R69" s="47" t="s">
        <v>176</v>
      </c>
      <c r="S69" s="95" t="s">
        <v>176</v>
      </c>
      <c r="T69" s="89" t="s">
        <v>176</v>
      </c>
      <c r="U69" s="47" t="s">
        <v>176</v>
      </c>
      <c r="V69" s="5" t="s">
        <v>155</v>
      </c>
      <c r="W69" s="5"/>
    </row>
    <row r="70" spans="1:23" ht="12.75" hidden="1" customHeight="1">
      <c r="A70">
        <v>68</v>
      </c>
      <c r="B70" s="8" t="s">
        <v>275</v>
      </c>
      <c r="C70" s="8" t="s">
        <v>152</v>
      </c>
      <c r="D70" s="8" t="s">
        <v>160</v>
      </c>
      <c r="E70" s="9" t="s">
        <v>161</v>
      </c>
      <c r="F70" s="20" t="s">
        <v>41</v>
      </c>
      <c r="G70" s="29">
        <v>6</v>
      </c>
      <c r="H70" s="10">
        <v>200</v>
      </c>
      <c r="I70" s="10">
        <v>160</v>
      </c>
      <c r="J70" s="8"/>
      <c r="K70" s="8"/>
      <c r="L70" s="8"/>
      <c r="M70" s="10">
        <v>0</v>
      </c>
      <c r="N70" s="44">
        <f t="shared" si="3"/>
        <v>0</v>
      </c>
      <c r="O70" s="25"/>
      <c r="P70" s="8"/>
      <c r="Q70" s="48">
        <v>1.9583333333332575E-2</v>
      </c>
      <c r="R70" s="48">
        <v>2.1622403769759688</v>
      </c>
      <c r="S70" s="96">
        <v>2.1198965029268577</v>
      </c>
      <c r="T70" s="90">
        <v>1.7827087618120545</v>
      </c>
      <c r="U70" s="48">
        <f t="shared" ref="U70:U72" si="7">S70-T70</f>
        <v>0.33718774111480321</v>
      </c>
      <c r="V70" s="8" t="s">
        <v>155</v>
      </c>
      <c r="W70" s="8"/>
    </row>
    <row r="71" spans="1:23" ht="12.75" hidden="1" customHeight="1">
      <c r="A71">
        <v>69</v>
      </c>
      <c r="B71" s="8" t="s">
        <v>275</v>
      </c>
      <c r="C71" s="8" t="s">
        <v>152</v>
      </c>
      <c r="D71" s="8" t="s">
        <v>162</v>
      </c>
      <c r="E71" s="9" t="s">
        <v>294</v>
      </c>
      <c r="F71" s="20" t="s">
        <v>41</v>
      </c>
      <c r="G71" s="29">
        <v>6</v>
      </c>
      <c r="H71" s="10">
        <v>115</v>
      </c>
      <c r="I71" s="10">
        <v>85</v>
      </c>
      <c r="J71" s="8"/>
      <c r="K71" s="8"/>
      <c r="L71" s="8"/>
      <c r="M71" s="10">
        <v>0</v>
      </c>
      <c r="N71" s="44">
        <f t="shared" si="3"/>
        <v>0</v>
      </c>
      <c r="O71" s="25"/>
      <c r="P71" s="8"/>
      <c r="Q71" s="48">
        <v>-0.34011111111111159</v>
      </c>
      <c r="R71" s="48">
        <v>1.2822309980695785</v>
      </c>
      <c r="S71" s="96">
        <v>0.84612998861502464</v>
      </c>
      <c r="T71" s="90">
        <v>0.44404554483816955</v>
      </c>
      <c r="U71" s="48">
        <f t="shared" si="7"/>
        <v>0.40208444377685509</v>
      </c>
      <c r="V71" s="8" t="s">
        <v>155</v>
      </c>
      <c r="W71" s="8"/>
    </row>
    <row r="72" spans="1:23" ht="12.75" hidden="1" customHeight="1">
      <c r="A72">
        <v>70</v>
      </c>
      <c r="B72" s="8" t="s">
        <v>275</v>
      </c>
      <c r="C72" s="8" t="s">
        <v>152</v>
      </c>
      <c r="D72" s="8" t="s">
        <v>163</v>
      </c>
      <c r="E72" s="9" t="s">
        <v>164</v>
      </c>
      <c r="F72" s="20" t="s">
        <v>41</v>
      </c>
      <c r="G72" s="29">
        <v>6</v>
      </c>
      <c r="H72" s="10">
        <v>60</v>
      </c>
      <c r="I72" s="10">
        <v>40</v>
      </c>
      <c r="J72" s="8"/>
      <c r="K72" s="8"/>
      <c r="L72" s="8"/>
      <c r="M72" s="10">
        <v>0</v>
      </c>
      <c r="N72" s="44">
        <f t="shared" si="3"/>
        <v>0</v>
      </c>
      <c r="O72" s="25"/>
      <c r="P72" s="8"/>
      <c r="Q72" s="48">
        <v>0.5278333333333336</v>
      </c>
      <c r="R72" s="48">
        <v>0.84274734413279973</v>
      </c>
      <c r="S72" s="96">
        <v>0.39791720432137007</v>
      </c>
      <c r="T72" s="90">
        <v>0.53081406723590074</v>
      </c>
      <c r="U72" s="48">
        <f t="shared" si="7"/>
        <v>-0.13289686291453068</v>
      </c>
      <c r="V72" s="8" t="s">
        <v>155</v>
      </c>
      <c r="W72" s="8"/>
    </row>
    <row r="73" spans="1:23" ht="12.75" hidden="1" customHeight="1">
      <c r="A73">
        <v>71</v>
      </c>
      <c r="B73" s="8" t="s">
        <v>275</v>
      </c>
      <c r="C73" s="8" t="s">
        <v>152</v>
      </c>
      <c r="D73" s="5" t="s">
        <v>165</v>
      </c>
      <c r="E73" s="9" t="s">
        <v>166</v>
      </c>
      <c r="F73" s="19" t="s">
        <v>41</v>
      </c>
      <c r="G73" s="29">
        <v>0</v>
      </c>
      <c r="H73" s="10">
        <v>12</v>
      </c>
      <c r="I73" s="10">
        <v>8</v>
      </c>
      <c r="J73" s="7" t="s">
        <v>55</v>
      </c>
      <c r="K73" s="7" t="s">
        <v>55</v>
      </c>
      <c r="L73" s="7" t="s">
        <v>55</v>
      </c>
      <c r="M73" s="10">
        <v>0</v>
      </c>
      <c r="N73" s="44" t="s">
        <v>55</v>
      </c>
      <c r="O73" s="24"/>
      <c r="P73" s="7"/>
      <c r="Q73" s="48" t="s">
        <v>55</v>
      </c>
      <c r="R73" s="48" t="s">
        <v>55</v>
      </c>
      <c r="S73" s="48" t="s">
        <v>55</v>
      </c>
      <c r="T73" s="48" t="s">
        <v>55</v>
      </c>
      <c r="U73" s="48" t="s">
        <v>306</v>
      </c>
      <c r="V73" s="8" t="s">
        <v>156</v>
      </c>
      <c r="W73" s="8" t="s">
        <v>281</v>
      </c>
    </row>
    <row r="74" spans="1:23" ht="12.75" hidden="1" customHeight="1">
      <c r="A74">
        <v>72</v>
      </c>
      <c r="B74" s="8" t="s">
        <v>275</v>
      </c>
      <c r="C74" s="8" t="s">
        <v>152</v>
      </c>
      <c r="D74" s="5" t="s">
        <v>167</v>
      </c>
      <c r="E74" s="9" t="s">
        <v>168</v>
      </c>
      <c r="F74" s="19" t="s">
        <v>41</v>
      </c>
      <c r="G74" s="29">
        <v>0</v>
      </c>
      <c r="H74" s="10">
        <v>1.3</v>
      </c>
      <c r="I74" s="10">
        <v>0.7</v>
      </c>
      <c r="J74" s="7" t="s">
        <v>55</v>
      </c>
      <c r="K74" s="7" t="s">
        <v>55</v>
      </c>
      <c r="L74" s="7" t="s">
        <v>55</v>
      </c>
      <c r="M74" s="10">
        <v>0</v>
      </c>
      <c r="N74" s="44" t="s">
        <v>55</v>
      </c>
      <c r="O74" s="24"/>
      <c r="P74" s="7"/>
      <c r="Q74" s="48" t="s">
        <v>55</v>
      </c>
      <c r="R74" s="48" t="s">
        <v>55</v>
      </c>
      <c r="S74" s="48" t="s">
        <v>55</v>
      </c>
      <c r="T74" s="48" t="s">
        <v>55</v>
      </c>
      <c r="U74" s="48" t="s">
        <v>306</v>
      </c>
      <c r="V74" s="8" t="s">
        <v>156</v>
      </c>
      <c r="W74" s="8" t="s">
        <v>281</v>
      </c>
    </row>
    <row r="75" spans="1:23" ht="12.75" hidden="1" customHeight="1">
      <c r="A75">
        <v>73</v>
      </c>
      <c r="B75" s="5" t="s">
        <v>276</v>
      </c>
      <c r="C75" s="5" t="s">
        <v>152</v>
      </c>
      <c r="D75" s="5" t="s">
        <v>169</v>
      </c>
      <c r="E75" s="6" t="s">
        <v>170</v>
      </c>
      <c r="F75" s="19" t="s">
        <v>41</v>
      </c>
      <c r="G75" s="28">
        <v>6</v>
      </c>
      <c r="H75" s="7">
        <v>200</v>
      </c>
      <c r="I75" s="7">
        <v>100</v>
      </c>
      <c r="J75" s="7" t="s">
        <v>55</v>
      </c>
      <c r="K75" s="7" t="s">
        <v>55</v>
      </c>
      <c r="L75" s="7" t="s">
        <v>55</v>
      </c>
      <c r="M75" s="7">
        <v>0</v>
      </c>
      <c r="N75" s="41">
        <f>M75/G75</f>
        <v>0</v>
      </c>
      <c r="O75" s="24"/>
      <c r="P75" s="7"/>
      <c r="Q75" s="47" t="s">
        <v>176</v>
      </c>
      <c r="R75" s="47" t="s">
        <v>176</v>
      </c>
      <c r="S75" s="95" t="s">
        <v>176</v>
      </c>
      <c r="T75" s="89" t="s">
        <v>55</v>
      </c>
      <c r="U75" s="47" t="s">
        <v>55</v>
      </c>
      <c r="V75" s="5" t="s">
        <v>155</v>
      </c>
      <c r="W75" s="5"/>
    </row>
    <row r="76" spans="1:23" ht="12.75" hidden="1" customHeight="1">
      <c r="A76">
        <v>74</v>
      </c>
      <c r="B76" s="5" t="s">
        <v>276</v>
      </c>
      <c r="C76" s="5" t="s">
        <v>152</v>
      </c>
      <c r="D76" s="5" t="s">
        <v>171</v>
      </c>
      <c r="E76" s="6" t="s">
        <v>172</v>
      </c>
      <c r="F76" s="19" t="s">
        <v>41</v>
      </c>
      <c r="G76" s="28">
        <v>6</v>
      </c>
      <c r="H76" s="7">
        <v>160</v>
      </c>
      <c r="I76" s="7">
        <v>120</v>
      </c>
      <c r="J76" s="7" t="s">
        <v>55</v>
      </c>
      <c r="K76" s="7" t="s">
        <v>55</v>
      </c>
      <c r="L76" s="7" t="s">
        <v>55</v>
      </c>
      <c r="M76" s="7">
        <v>0</v>
      </c>
      <c r="N76" s="41">
        <f>M76/G76</f>
        <v>0</v>
      </c>
      <c r="O76" s="24"/>
      <c r="P76" s="7"/>
      <c r="Q76" s="47" t="s">
        <v>176</v>
      </c>
      <c r="R76" s="47" t="s">
        <v>176</v>
      </c>
      <c r="S76" s="95" t="s">
        <v>176</v>
      </c>
      <c r="T76" s="89" t="s">
        <v>55</v>
      </c>
      <c r="U76" s="47" t="s">
        <v>55</v>
      </c>
      <c r="V76" s="5" t="s">
        <v>155</v>
      </c>
      <c r="W76" s="5"/>
    </row>
    <row r="77" spans="1:23" ht="12.75" hidden="1" customHeight="1" thickBot="1">
      <c r="A77">
        <v>75</v>
      </c>
      <c r="B77" s="5" t="s">
        <v>276</v>
      </c>
      <c r="C77" s="14" t="s">
        <v>152</v>
      </c>
      <c r="D77" s="14" t="s">
        <v>173</v>
      </c>
      <c r="E77" s="15" t="s">
        <v>174</v>
      </c>
      <c r="F77" s="21" t="s">
        <v>41</v>
      </c>
      <c r="G77" s="30">
        <v>6</v>
      </c>
      <c r="H77" s="16">
        <v>100</v>
      </c>
      <c r="I77" s="16" t="s">
        <v>55</v>
      </c>
      <c r="J77" s="16" t="s">
        <v>55</v>
      </c>
      <c r="K77" s="16" t="s">
        <v>55</v>
      </c>
      <c r="L77" s="16" t="s">
        <v>55</v>
      </c>
      <c r="M77" s="16">
        <v>0</v>
      </c>
      <c r="N77" s="42">
        <f>M77/G77</f>
        <v>0</v>
      </c>
      <c r="O77" s="26"/>
      <c r="P77" s="16"/>
      <c r="Q77" s="49" t="s">
        <v>176</v>
      </c>
      <c r="R77" s="49" t="s">
        <v>176</v>
      </c>
      <c r="S77" s="97" t="s">
        <v>176</v>
      </c>
      <c r="T77" s="91" t="s">
        <v>55</v>
      </c>
      <c r="U77" s="49" t="s">
        <v>55</v>
      </c>
      <c r="V77" s="14" t="s">
        <v>155</v>
      </c>
      <c r="W77" s="14"/>
    </row>
    <row r="78" spans="1:23" ht="13.5" hidden="1">
      <c r="B78" s="53" t="s">
        <v>178</v>
      </c>
    </row>
  </sheetData>
  <autoFilter ref="B2:W78" xr:uid="{F08256FE-1C47-47BA-B4DF-08BA459F07C9}">
    <filterColumn colId="1">
      <filters>
        <filter val="ST1"/>
      </filters>
    </filterColumn>
  </autoFilter>
  <mergeCells count="2">
    <mergeCell ref="G1:N1"/>
    <mergeCell ref="Q1:S1"/>
  </mergeCells>
  <phoneticPr fontId="3" type="noConversion"/>
  <conditionalFormatting sqref="N3:N77">
    <cfRule type="cellIs" dxfId="0" priority="1" operator="greaterThan">
      <formula>0</formula>
    </cfRule>
  </conditionalFormatting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0CF2-2272-4B81-A81A-2A14961B7BDA}">
  <sheetPr filterMode="1">
    <tabColor rgb="FFFFC000"/>
  </sheetPr>
  <dimension ref="A1:X129"/>
  <sheetViews>
    <sheetView showGridLines="0" tabSelected="1" zoomScale="120" zoomScaleNormal="120" workbookViewId="0">
      <pane xSplit="3" ySplit="1" topLeftCell="D2" activePane="bottomRight" state="frozen"/>
      <selection activeCell="BE39" sqref="BE39"/>
      <selection pane="topRight" activeCell="BE39" sqref="BE39"/>
      <selection pane="bottomLeft" activeCell="BE39" sqref="BE39"/>
      <selection pane="bottomRight" activeCell="A24" sqref="A24"/>
    </sheetView>
  </sheetViews>
  <sheetFormatPr defaultRowHeight="12.75"/>
  <cols>
    <col min="1" max="1" width="13.7109375" customWidth="1"/>
    <col min="2" max="2" width="10.85546875" customWidth="1"/>
    <col min="3" max="3" width="24.7109375" hidden="1" customWidth="1"/>
    <col min="4" max="4" width="33.7109375" style="17" customWidth="1"/>
    <col min="5" max="5" width="10.85546875" customWidth="1"/>
    <col min="6" max="6" width="12.5703125" hidden="1" customWidth="1"/>
    <col min="7" max="9" width="9.42578125" customWidth="1"/>
    <col min="10" max="10" width="9.7109375" customWidth="1"/>
    <col min="11" max="11" width="15.7109375" hidden="1" customWidth="1"/>
    <col min="12" max="15" width="11.7109375" hidden="1" customWidth="1"/>
    <col min="16" max="17" width="8.140625" hidden="1" customWidth="1"/>
    <col min="18" max="18" width="9.5703125" hidden="1" customWidth="1"/>
    <col min="19" max="19" width="11.85546875" bestFit="1" customWidth="1"/>
    <col min="20" max="20" width="22.42578125" customWidth="1"/>
    <col min="21" max="21" width="35.28515625" customWidth="1"/>
  </cols>
  <sheetData>
    <row r="1" spans="1:20" ht="54" customHeight="1">
      <c r="A1" s="55" t="s">
        <v>0</v>
      </c>
      <c r="B1" s="55" t="s">
        <v>1</v>
      </c>
      <c r="C1" s="55" t="s">
        <v>2</v>
      </c>
      <c r="D1" s="56" t="s">
        <v>3</v>
      </c>
      <c r="E1" s="55" t="s">
        <v>4</v>
      </c>
      <c r="F1" s="57" t="s">
        <v>179</v>
      </c>
      <c r="G1" s="57" t="s">
        <v>5</v>
      </c>
      <c r="H1" s="57" t="s">
        <v>6</v>
      </c>
      <c r="I1" s="57" t="s">
        <v>7</v>
      </c>
      <c r="J1" s="57" t="s">
        <v>8</v>
      </c>
      <c r="K1" s="55" t="s">
        <v>9</v>
      </c>
      <c r="L1" s="55" t="s">
        <v>10</v>
      </c>
      <c r="M1" s="55" t="s">
        <v>11</v>
      </c>
      <c r="N1" s="55" t="s">
        <v>12</v>
      </c>
      <c r="O1" s="55" t="s">
        <v>13</v>
      </c>
      <c r="P1" s="55" t="s">
        <v>14</v>
      </c>
      <c r="Q1" s="55" t="s">
        <v>180</v>
      </c>
      <c r="R1" s="55" t="s">
        <v>181</v>
      </c>
      <c r="S1" s="55" t="s">
        <v>15</v>
      </c>
      <c r="T1" s="1" t="s">
        <v>16</v>
      </c>
    </row>
    <row r="2" spans="1:20" ht="12.75" customHeight="1">
      <c r="A2" s="2" t="s">
        <v>17</v>
      </c>
      <c r="B2" s="2" t="s">
        <v>18</v>
      </c>
      <c r="C2" s="2" t="s">
        <v>19</v>
      </c>
      <c r="D2" s="3" t="s">
        <v>20</v>
      </c>
      <c r="E2" s="2" t="s">
        <v>21</v>
      </c>
      <c r="F2" s="4">
        <v>59</v>
      </c>
      <c r="G2" s="4">
        <v>0.4</v>
      </c>
      <c r="H2" s="4">
        <v>0.2</v>
      </c>
      <c r="I2" s="43">
        <v>0.4</v>
      </c>
      <c r="J2" s="43">
        <v>0.2</v>
      </c>
      <c r="K2" s="2" t="s">
        <v>22</v>
      </c>
      <c r="L2" s="2"/>
      <c r="M2" s="2"/>
      <c r="N2" s="2"/>
      <c r="O2" s="2"/>
      <c r="P2" s="2"/>
      <c r="Q2" s="2"/>
      <c r="R2" s="2"/>
      <c r="S2" s="2" t="s">
        <v>23</v>
      </c>
      <c r="T2" s="2"/>
    </row>
    <row r="3" spans="1:20" ht="12.75" customHeight="1">
      <c r="A3" s="2" t="s">
        <v>17</v>
      </c>
      <c r="B3" s="2" t="s">
        <v>18</v>
      </c>
      <c r="C3" s="2" t="s">
        <v>24</v>
      </c>
      <c r="D3" s="3" t="s">
        <v>25</v>
      </c>
      <c r="E3" s="2" t="s">
        <v>21</v>
      </c>
      <c r="F3" s="4">
        <v>59</v>
      </c>
      <c r="G3" s="4">
        <v>0.4</v>
      </c>
      <c r="H3" s="4">
        <v>0.2</v>
      </c>
      <c r="I3" s="43">
        <v>0.4</v>
      </c>
      <c r="J3" s="43">
        <v>0.2</v>
      </c>
      <c r="K3" s="2" t="s">
        <v>22</v>
      </c>
      <c r="L3" s="2"/>
      <c r="M3" s="2"/>
      <c r="N3" s="2"/>
      <c r="O3" s="2"/>
      <c r="P3" s="2"/>
      <c r="Q3" s="2"/>
      <c r="R3" s="2"/>
      <c r="S3" s="2" t="s">
        <v>26</v>
      </c>
      <c r="T3" s="2"/>
    </row>
    <row r="4" spans="1:20" ht="12.75" customHeight="1">
      <c r="A4" s="2" t="s">
        <v>17</v>
      </c>
      <c r="B4" s="2" t="s">
        <v>27</v>
      </c>
      <c r="C4" s="2" t="s">
        <v>28</v>
      </c>
      <c r="D4" s="3" t="s">
        <v>29</v>
      </c>
      <c r="E4" s="2" t="s">
        <v>21</v>
      </c>
      <c r="F4" s="4">
        <v>57</v>
      </c>
      <c r="G4" s="4"/>
      <c r="H4" s="4"/>
      <c r="I4" s="58"/>
      <c r="J4" s="58"/>
      <c r="K4" s="2" t="s">
        <v>30</v>
      </c>
      <c r="L4" s="2"/>
      <c r="M4" s="2"/>
      <c r="N4" s="2"/>
      <c r="O4" s="2"/>
      <c r="P4" s="2"/>
      <c r="Q4" s="2"/>
      <c r="R4" s="2"/>
      <c r="S4" s="2" t="s">
        <v>31</v>
      </c>
      <c r="T4" s="2"/>
    </row>
    <row r="5" spans="1:20" ht="12.75" customHeight="1">
      <c r="A5" s="2" t="s">
        <v>17</v>
      </c>
      <c r="B5" s="2" t="s">
        <v>27</v>
      </c>
      <c r="C5" s="2" t="s">
        <v>32</v>
      </c>
      <c r="D5" s="3" t="s">
        <v>33</v>
      </c>
      <c r="E5" s="2" t="s">
        <v>21</v>
      </c>
      <c r="F5" s="4">
        <v>57</v>
      </c>
      <c r="G5" s="4"/>
      <c r="H5" s="4"/>
      <c r="I5" s="58"/>
      <c r="J5" s="58"/>
      <c r="K5" s="2" t="s">
        <v>30</v>
      </c>
      <c r="L5" s="2"/>
      <c r="M5" s="2"/>
      <c r="N5" s="2"/>
      <c r="O5" s="2"/>
      <c r="P5" s="2"/>
      <c r="Q5" s="2"/>
      <c r="R5" s="2"/>
      <c r="S5" s="2" t="s">
        <v>31</v>
      </c>
      <c r="T5" s="2"/>
    </row>
    <row r="6" spans="1:20" ht="12.75" customHeight="1">
      <c r="A6" s="2" t="s">
        <v>17</v>
      </c>
      <c r="B6" s="2" t="s">
        <v>34</v>
      </c>
      <c r="C6" s="2" t="s">
        <v>35</v>
      </c>
      <c r="D6" s="3" t="s">
        <v>36</v>
      </c>
      <c r="E6" s="2" t="s">
        <v>21</v>
      </c>
      <c r="F6" s="4">
        <v>3</v>
      </c>
      <c r="G6" s="4"/>
      <c r="H6" s="4"/>
      <c r="I6" s="58"/>
      <c r="J6" s="58"/>
      <c r="K6" s="2" t="s">
        <v>30</v>
      </c>
      <c r="L6" s="2"/>
      <c r="M6" s="2"/>
      <c r="N6" s="2"/>
      <c r="O6" s="2"/>
      <c r="P6" s="2"/>
      <c r="Q6" s="2"/>
      <c r="R6" s="2"/>
      <c r="S6" s="2" t="s">
        <v>31</v>
      </c>
      <c r="T6" s="2"/>
    </row>
    <row r="7" spans="1:20" ht="12.75" customHeight="1">
      <c r="A7" s="2" t="s">
        <v>17</v>
      </c>
      <c r="B7" s="2" t="s">
        <v>34</v>
      </c>
      <c r="C7" s="2" t="s">
        <v>37</v>
      </c>
      <c r="D7" s="3" t="s">
        <v>38</v>
      </c>
      <c r="E7" s="2" t="s">
        <v>21</v>
      </c>
      <c r="F7" s="4">
        <v>3</v>
      </c>
      <c r="G7" s="4"/>
      <c r="H7" s="4"/>
      <c r="I7" s="58"/>
      <c r="J7" s="58"/>
      <c r="K7" s="2" t="s">
        <v>30</v>
      </c>
      <c r="L7" s="2"/>
      <c r="M7" s="2"/>
      <c r="N7" s="2"/>
      <c r="O7" s="2"/>
      <c r="P7" s="2"/>
      <c r="Q7" s="2"/>
      <c r="R7" s="2"/>
      <c r="S7" s="2" t="s">
        <v>31</v>
      </c>
      <c r="T7" s="2"/>
    </row>
    <row r="8" spans="1:20" ht="12.75" customHeight="1">
      <c r="A8" s="2" t="s">
        <v>17</v>
      </c>
      <c r="B8" s="2" t="s">
        <v>18</v>
      </c>
      <c r="C8" s="2" t="s">
        <v>39</v>
      </c>
      <c r="D8" s="3" t="s">
        <v>40</v>
      </c>
      <c r="E8" s="2" t="s">
        <v>41</v>
      </c>
      <c r="F8" s="4">
        <v>59</v>
      </c>
      <c r="G8" s="43">
        <v>0.72</v>
      </c>
      <c r="H8" s="43">
        <v>0.32</v>
      </c>
      <c r="I8" s="43">
        <v>0.67</v>
      </c>
      <c r="J8" s="43">
        <v>0.37</v>
      </c>
      <c r="K8" s="2" t="s">
        <v>30</v>
      </c>
      <c r="L8" s="2"/>
      <c r="M8" s="2"/>
      <c r="N8" s="2"/>
      <c r="O8" s="2"/>
      <c r="P8" s="2"/>
      <c r="Q8" s="2"/>
      <c r="R8" s="2"/>
      <c r="S8" s="2" t="s">
        <v>26</v>
      </c>
      <c r="T8" s="2"/>
    </row>
    <row r="9" spans="1:20" ht="12.75" customHeight="1">
      <c r="A9" s="2" t="s">
        <v>17</v>
      </c>
      <c r="B9" s="2" t="s">
        <v>27</v>
      </c>
      <c r="C9" s="2" t="s">
        <v>42</v>
      </c>
      <c r="D9" s="3" t="s">
        <v>43</v>
      </c>
      <c r="E9" s="2" t="s">
        <v>41</v>
      </c>
      <c r="F9" s="4">
        <v>57</v>
      </c>
      <c r="G9" s="4">
        <v>0.82</v>
      </c>
      <c r="H9" s="4">
        <v>0.68</v>
      </c>
      <c r="I9" s="58"/>
      <c r="J9" s="58"/>
      <c r="K9" s="2" t="s">
        <v>30</v>
      </c>
      <c r="L9" s="2"/>
      <c r="M9" s="2"/>
      <c r="N9" s="2"/>
      <c r="O9" s="2"/>
      <c r="P9" s="2"/>
      <c r="Q9" s="2"/>
      <c r="R9" s="2"/>
      <c r="S9" s="2" t="s">
        <v>31</v>
      </c>
      <c r="T9" s="2"/>
    </row>
    <row r="10" spans="1:20" ht="12.75" customHeight="1">
      <c r="A10" s="2" t="s">
        <v>17</v>
      </c>
      <c r="B10" s="2" t="s">
        <v>34</v>
      </c>
      <c r="C10" s="2" t="s">
        <v>44</v>
      </c>
      <c r="D10" s="3" t="s">
        <v>45</v>
      </c>
      <c r="E10" s="2" t="s">
        <v>41</v>
      </c>
      <c r="F10" s="4">
        <v>3</v>
      </c>
      <c r="G10" s="4">
        <v>0.82</v>
      </c>
      <c r="H10" s="4">
        <v>0.68</v>
      </c>
      <c r="I10" s="58"/>
      <c r="J10" s="58"/>
      <c r="K10" s="2" t="s">
        <v>30</v>
      </c>
      <c r="L10" s="2"/>
      <c r="M10" s="2"/>
      <c r="N10" s="2"/>
      <c r="O10" s="2"/>
      <c r="P10" s="2"/>
      <c r="Q10" s="2"/>
      <c r="R10" s="2"/>
      <c r="S10" s="2" t="s">
        <v>31</v>
      </c>
      <c r="T10" s="2" t="s">
        <v>182</v>
      </c>
    </row>
    <row r="11" spans="1:20" ht="12.75" customHeight="1">
      <c r="A11" s="2" t="s">
        <v>17</v>
      </c>
      <c r="B11" s="2" t="s">
        <v>46</v>
      </c>
      <c r="C11" s="2" t="s">
        <v>47</v>
      </c>
      <c r="D11" s="3" t="s">
        <v>48</v>
      </c>
      <c r="E11" s="2" t="s">
        <v>21</v>
      </c>
      <c r="F11" s="4">
        <v>59</v>
      </c>
      <c r="G11" s="4">
        <v>0.4</v>
      </c>
      <c r="H11" s="4">
        <v>0.2</v>
      </c>
      <c r="I11" s="43">
        <v>0.4</v>
      </c>
      <c r="J11" s="43">
        <v>0.2</v>
      </c>
      <c r="K11" s="2" t="s">
        <v>22</v>
      </c>
      <c r="L11" s="2"/>
      <c r="M11" s="2"/>
      <c r="N11" s="2"/>
      <c r="O11" s="2"/>
      <c r="P11" s="2"/>
      <c r="Q11" s="2"/>
      <c r="R11" s="2"/>
      <c r="S11" s="2" t="s">
        <v>26</v>
      </c>
      <c r="T11" s="2" t="s">
        <v>182</v>
      </c>
    </row>
    <row r="12" spans="1:20" ht="12.75" customHeight="1">
      <c r="A12" s="2" t="s">
        <v>17</v>
      </c>
      <c r="B12" s="2" t="s">
        <v>46</v>
      </c>
      <c r="C12" s="2" t="s">
        <v>49</v>
      </c>
      <c r="D12" s="3" t="s">
        <v>50</v>
      </c>
      <c r="E12" s="2" t="s">
        <v>21</v>
      </c>
      <c r="F12" s="4">
        <v>59</v>
      </c>
      <c r="G12" s="4">
        <v>0.4</v>
      </c>
      <c r="H12" s="4">
        <v>0.2</v>
      </c>
      <c r="I12" s="43">
        <v>0.4</v>
      </c>
      <c r="J12" s="43">
        <v>0.2</v>
      </c>
      <c r="K12" s="2" t="s">
        <v>22</v>
      </c>
      <c r="L12" s="2"/>
      <c r="M12" s="2"/>
      <c r="N12" s="2"/>
      <c r="O12" s="2"/>
      <c r="P12" s="2"/>
      <c r="Q12" s="2"/>
      <c r="R12" s="2"/>
      <c r="S12" s="2" t="s">
        <v>26</v>
      </c>
      <c r="T12" s="2" t="s">
        <v>182</v>
      </c>
    </row>
    <row r="13" spans="1:20" ht="12.75" customHeight="1">
      <c r="A13" s="2" t="s">
        <v>17</v>
      </c>
      <c r="B13" s="2" t="s">
        <v>46</v>
      </c>
      <c r="C13" s="2" t="s">
        <v>51</v>
      </c>
      <c r="D13" s="54" t="s">
        <v>52</v>
      </c>
      <c r="E13" s="2" t="s">
        <v>41</v>
      </c>
      <c r="F13" s="4">
        <v>59</v>
      </c>
      <c r="G13" s="43">
        <v>0.61</v>
      </c>
      <c r="H13" s="43">
        <v>0.31</v>
      </c>
      <c r="I13" s="43">
        <v>0.36</v>
      </c>
      <c r="J13" s="43">
        <v>0.56000000000000005</v>
      </c>
      <c r="K13" s="2" t="s">
        <v>30</v>
      </c>
      <c r="L13" s="2"/>
      <c r="M13" s="2"/>
      <c r="N13" s="2"/>
      <c r="O13" s="2"/>
      <c r="P13" s="2"/>
      <c r="Q13" s="2"/>
      <c r="R13" s="2"/>
      <c r="S13" s="2" t="s">
        <v>26</v>
      </c>
      <c r="T13" s="2" t="s">
        <v>182</v>
      </c>
    </row>
    <row r="14" spans="1:20" ht="12.75" customHeight="1">
      <c r="A14" s="5" t="s">
        <v>276</v>
      </c>
      <c r="B14" s="5" t="s">
        <v>53</v>
      </c>
      <c r="C14" s="5" t="s">
        <v>54</v>
      </c>
      <c r="D14" s="6" t="s">
        <v>309</v>
      </c>
      <c r="E14" s="5" t="s">
        <v>41</v>
      </c>
      <c r="F14" s="7"/>
      <c r="G14" s="7">
        <v>60</v>
      </c>
      <c r="H14" s="7">
        <v>30</v>
      </c>
      <c r="I14" s="7">
        <v>60</v>
      </c>
      <c r="J14" s="7">
        <v>30</v>
      </c>
      <c r="K14" s="7" t="s">
        <v>55</v>
      </c>
      <c r="L14" s="7"/>
      <c r="M14" s="7"/>
      <c r="N14" s="7"/>
      <c r="O14" s="7"/>
      <c r="P14" s="7"/>
      <c r="Q14" s="7"/>
      <c r="R14" s="7"/>
      <c r="S14" s="5" t="s">
        <v>56</v>
      </c>
      <c r="T14" s="8" t="s">
        <v>183</v>
      </c>
    </row>
    <row r="15" spans="1:20" ht="12.75" customHeight="1">
      <c r="A15" s="5" t="s">
        <v>276</v>
      </c>
      <c r="B15" s="8" t="s">
        <v>53</v>
      </c>
      <c r="C15" s="8" t="s">
        <v>58</v>
      </c>
      <c r="D15" s="9" t="s">
        <v>310</v>
      </c>
      <c r="E15" s="8" t="s">
        <v>41</v>
      </c>
      <c r="F15" s="10">
        <v>64</v>
      </c>
      <c r="G15" s="10">
        <v>50</v>
      </c>
      <c r="H15" s="10">
        <v>30</v>
      </c>
      <c r="I15" s="8">
        <v>50</v>
      </c>
      <c r="J15" s="8">
        <v>30</v>
      </c>
      <c r="K15" s="8" t="s">
        <v>22</v>
      </c>
      <c r="L15" s="8"/>
      <c r="M15" s="8"/>
      <c r="N15" s="8"/>
      <c r="O15" s="8"/>
      <c r="P15" s="8"/>
      <c r="Q15" s="8"/>
      <c r="R15" s="8"/>
      <c r="S15" s="8" t="s">
        <v>56</v>
      </c>
      <c r="T15" s="8" t="s">
        <v>183</v>
      </c>
    </row>
    <row r="16" spans="1:20" ht="12.75" customHeight="1">
      <c r="A16" s="5" t="s">
        <v>276</v>
      </c>
      <c r="B16" s="5" t="s">
        <v>53</v>
      </c>
      <c r="C16" s="5" t="s">
        <v>59</v>
      </c>
      <c r="D16" s="6" t="s">
        <v>311</v>
      </c>
      <c r="E16" s="5" t="s">
        <v>41</v>
      </c>
      <c r="F16" s="7"/>
      <c r="G16" s="7">
        <v>60</v>
      </c>
      <c r="H16" s="7">
        <v>30</v>
      </c>
      <c r="I16" s="7">
        <v>60</v>
      </c>
      <c r="J16" s="7">
        <v>30</v>
      </c>
      <c r="K16" s="7" t="s">
        <v>55</v>
      </c>
      <c r="L16" s="7"/>
      <c r="M16" s="7"/>
      <c r="N16" s="7"/>
      <c r="O16" s="7"/>
      <c r="P16" s="7"/>
      <c r="Q16" s="7"/>
      <c r="R16" s="7"/>
      <c r="S16" s="5" t="s">
        <v>56</v>
      </c>
      <c r="T16" s="8" t="s">
        <v>183</v>
      </c>
    </row>
    <row r="17" spans="1:21" ht="12.75" customHeight="1">
      <c r="A17" s="5" t="s">
        <v>276</v>
      </c>
      <c r="B17" s="8" t="s">
        <v>53</v>
      </c>
      <c r="C17" s="8" t="s">
        <v>60</v>
      </c>
      <c r="D17" s="9" t="s">
        <v>312</v>
      </c>
      <c r="E17" s="8" t="s">
        <v>41</v>
      </c>
      <c r="F17" s="10">
        <v>64</v>
      </c>
      <c r="G17" s="10">
        <v>50</v>
      </c>
      <c r="H17" s="10">
        <v>30</v>
      </c>
      <c r="I17" s="10">
        <v>50</v>
      </c>
      <c r="J17" s="10">
        <v>30</v>
      </c>
      <c r="K17" s="8" t="s">
        <v>22</v>
      </c>
      <c r="L17" s="8"/>
      <c r="M17" s="8"/>
      <c r="N17" s="8"/>
      <c r="O17" s="8"/>
      <c r="P17" s="8"/>
      <c r="Q17" s="8"/>
      <c r="R17" s="8"/>
      <c r="S17" s="8" t="s">
        <v>56</v>
      </c>
      <c r="T17" s="8" t="s">
        <v>183</v>
      </c>
    </row>
    <row r="18" spans="1:21" ht="19.5" customHeight="1">
      <c r="A18" s="8" t="s">
        <v>275</v>
      </c>
      <c r="B18" s="8" t="s">
        <v>61</v>
      </c>
      <c r="C18" s="8" t="s">
        <v>62</v>
      </c>
      <c r="D18" s="9" t="s">
        <v>343</v>
      </c>
      <c r="E18" s="8" t="s">
        <v>41</v>
      </c>
      <c r="F18" s="10">
        <v>313</v>
      </c>
      <c r="G18" s="10">
        <v>22</v>
      </c>
      <c r="H18" s="10">
        <v>18</v>
      </c>
      <c r="I18" s="10">
        <v>21</v>
      </c>
      <c r="J18" s="10">
        <v>19</v>
      </c>
      <c r="K18" s="8" t="s">
        <v>22</v>
      </c>
      <c r="L18" s="8"/>
      <c r="M18" s="8"/>
      <c r="N18" s="8"/>
      <c r="O18" s="8"/>
      <c r="P18" s="8"/>
      <c r="Q18" s="8"/>
      <c r="R18" s="8"/>
      <c r="S18" s="8" t="s">
        <v>56</v>
      </c>
      <c r="T18" s="8"/>
    </row>
    <row r="19" spans="1:21" ht="12.75" customHeight="1">
      <c r="A19" s="5" t="s">
        <v>276</v>
      </c>
      <c r="B19" s="8" t="s">
        <v>61</v>
      </c>
      <c r="C19" s="8" t="s">
        <v>63</v>
      </c>
      <c r="D19" s="77" t="s">
        <v>344</v>
      </c>
      <c r="E19" s="8" t="s">
        <v>41</v>
      </c>
      <c r="F19" s="10">
        <v>313</v>
      </c>
      <c r="G19" s="10">
        <v>9</v>
      </c>
      <c r="H19" s="10">
        <v>7</v>
      </c>
      <c r="I19" s="10">
        <v>9</v>
      </c>
      <c r="J19" s="10">
        <v>7</v>
      </c>
      <c r="K19" s="8" t="s">
        <v>22</v>
      </c>
      <c r="L19" s="8"/>
      <c r="M19" s="8"/>
      <c r="N19" s="8"/>
      <c r="O19" s="8"/>
      <c r="P19" s="8"/>
      <c r="Q19" s="8"/>
      <c r="R19" s="8"/>
      <c r="S19" s="8" t="s">
        <v>56</v>
      </c>
      <c r="T19" s="8" t="s">
        <v>183</v>
      </c>
      <c r="U19" s="104" t="s">
        <v>184</v>
      </c>
    </row>
    <row r="20" spans="1:21" ht="12.75" customHeight="1">
      <c r="A20" s="5" t="s">
        <v>276</v>
      </c>
      <c r="B20" s="8" t="s">
        <v>61</v>
      </c>
      <c r="C20" s="8" t="s">
        <v>64</v>
      </c>
      <c r="D20" s="77" t="s">
        <v>345</v>
      </c>
      <c r="E20" s="8" t="s">
        <v>41</v>
      </c>
      <c r="F20" s="10">
        <v>313</v>
      </c>
      <c r="G20" s="10">
        <v>13.8</v>
      </c>
      <c r="H20" s="10">
        <v>12.8</v>
      </c>
      <c r="I20" s="10">
        <v>13.8</v>
      </c>
      <c r="J20" s="10">
        <v>12.8</v>
      </c>
      <c r="K20" s="8" t="s">
        <v>22</v>
      </c>
      <c r="L20" s="8"/>
      <c r="M20" s="8"/>
      <c r="N20" s="8"/>
      <c r="O20" s="8"/>
      <c r="P20" s="8"/>
      <c r="Q20" s="8"/>
      <c r="R20" s="8"/>
      <c r="S20" s="8" t="s">
        <v>56</v>
      </c>
      <c r="T20" s="8" t="s">
        <v>183</v>
      </c>
      <c r="U20" s="104"/>
    </row>
    <row r="21" spans="1:21" ht="12.75" customHeight="1">
      <c r="A21" s="8" t="s">
        <v>275</v>
      </c>
      <c r="B21" s="8" t="s">
        <v>61</v>
      </c>
      <c r="C21" s="8" t="s">
        <v>66</v>
      </c>
      <c r="D21" s="9" t="s">
        <v>346</v>
      </c>
      <c r="E21" s="8" t="s">
        <v>41</v>
      </c>
      <c r="F21" s="10">
        <v>176</v>
      </c>
      <c r="G21" s="10">
        <v>165</v>
      </c>
      <c r="H21" s="10">
        <v>135</v>
      </c>
      <c r="I21" s="10">
        <v>160</v>
      </c>
      <c r="J21" s="10">
        <v>140</v>
      </c>
      <c r="K21" s="8" t="s">
        <v>22</v>
      </c>
      <c r="L21" s="8"/>
      <c r="M21" s="8"/>
      <c r="N21" s="8"/>
      <c r="O21" s="8"/>
      <c r="P21" s="8"/>
      <c r="Q21" s="8"/>
      <c r="R21" s="8"/>
      <c r="S21" s="8" t="s">
        <v>56</v>
      </c>
      <c r="T21" s="8"/>
    </row>
    <row r="22" spans="1:21" ht="12.75" customHeight="1">
      <c r="A22" s="5" t="s">
        <v>276</v>
      </c>
      <c r="B22" s="8" t="s">
        <v>61</v>
      </c>
      <c r="C22" s="8" t="s">
        <v>68</v>
      </c>
      <c r="D22" s="9" t="s">
        <v>347</v>
      </c>
      <c r="E22" s="8" t="s">
        <v>41</v>
      </c>
      <c r="F22" s="10">
        <v>176</v>
      </c>
      <c r="G22" s="10">
        <v>11</v>
      </c>
      <c r="H22" s="10">
        <v>9.5</v>
      </c>
      <c r="I22" s="10">
        <v>11</v>
      </c>
      <c r="J22" s="10">
        <v>9.5</v>
      </c>
      <c r="K22" s="8" t="s">
        <v>22</v>
      </c>
      <c r="L22" s="8"/>
      <c r="M22" s="8"/>
      <c r="N22" s="8"/>
      <c r="O22" s="8"/>
      <c r="P22" s="8"/>
      <c r="Q22" s="8"/>
      <c r="R22" s="8"/>
      <c r="S22" s="8" t="s">
        <v>56</v>
      </c>
      <c r="T22" s="8" t="s">
        <v>183</v>
      </c>
    </row>
    <row r="23" spans="1:21" ht="12.75" customHeight="1">
      <c r="A23" s="8" t="s">
        <v>275</v>
      </c>
      <c r="B23" s="8" t="s">
        <v>61</v>
      </c>
      <c r="C23" s="8" t="s">
        <v>70</v>
      </c>
      <c r="D23" s="12" t="s">
        <v>348</v>
      </c>
      <c r="E23" s="8" t="s">
        <v>41</v>
      </c>
      <c r="F23" s="10">
        <v>176</v>
      </c>
      <c r="G23" s="10">
        <v>280</v>
      </c>
      <c r="H23" s="10">
        <v>240</v>
      </c>
      <c r="I23" s="10">
        <v>275</v>
      </c>
      <c r="J23" s="10">
        <v>245</v>
      </c>
      <c r="K23" s="8" t="s">
        <v>22</v>
      </c>
      <c r="L23" s="8"/>
      <c r="M23" s="8"/>
      <c r="N23" s="8"/>
      <c r="O23" s="8"/>
      <c r="P23" s="8"/>
      <c r="Q23" s="8"/>
      <c r="R23" s="8"/>
      <c r="S23" s="8" t="s">
        <v>56</v>
      </c>
      <c r="T23" s="8"/>
    </row>
    <row r="24" spans="1:21" ht="12.75" customHeight="1">
      <c r="A24" s="5" t="s">
        <v>276</v>
      </c>
      <c r="B24" s="8" t="s">
        <v>61</v>
      </c>
      <c r="C24" s="8" t="s">
        <v>72</v>
      </c>
      <c r="D24" s="9" t="s">
        <v>349</v>
      </c>
      <c r="E24" s="8" t="s">
        <v>41</v>
      </c>
      <c r="F24" s="10">
        <v>176</v>
      </c>
      <c r="G24" s="10" t="s">
        <v>55</v>
      </c>
      <c r="H24" s="10">
        <v>30</v>
      </c>
      <c r="I24" s="8"/>
      <c r="J24" s="10">
        <v>30</v>
      </c>
      <c r="K24" s="8" t="s">
        <v>22</v>
      </c>
      <c r="L24" s="8"/>
      <c r="M24" s="8"/>
      <c r="N24" s="8"/>
      <c r="O24" s="8"/>
      <c r="P24" s="8"/>
      <c r="Q24" s="8"/>
      <c r="R24" s="8"/>
      <c r="S24" s="8" t="s">
        <v>56</v>
      </c>
      <c r="T24" s="8" t="s">
        <v>185</v>
      </c>
    </row>
    <row r="25" spans="1:21" ht="12.75" customHeight="1">
      <c r="A25" s="8" t="s">
        <v>275</v>
      </c>
      <c r="B25" s="5" t="s">
        <v>61</v>
      </c>
      <c r="C25" s="5" t="s">
        <v>74</v>
      </c>
      <c r="D25" s="6" t="s">
        <v>350</v>
      </c>
      <c r="E25" s="5" t="s">
        <v>41</v>
      </c>
      <c r="F25" s="7"/>
      <c r="G25" s="7">
        <v>25</v>
      </c>
      <c r="H25" s="7">
        <v>5</v>
      </c>
      <c r="I25" s="7">
        <v>23</v>
      </c>
      <c r="J25" s="7">
        <v>7</v>
      </c>
      <c r="K25" s="7" t="s">
        <v>55</v>
      </c>
      <c r="L25" s="7"/>
      <c r="M25" s="7"/>
      <c r="N25" s="7"/>
      <c r="O25" s="7"/>
      <c r="P25" s="7"/>
      <c r="Q25" s="7"/>
      <c r="R25" s="7"/>
      <c r="S25" s="5" t="s">
        <v>56</v>
      </c>
      <c r="T25" s="5"/>
    </row>
    <row r="26" spans="1:21" ht="12.75" customHeight="1">
      <c r="A26" s="8" t="s">
        <v>275</v>
      </c>
      <c r="B26" s="8" t="s">
        <v>61</v>
      </c>
      <c r="C26" s="8" t="s">
        <v>76</v>
      </c>
      <c r="D26" s="9" t="s">
        <v>351</v>
      </c>
      <c r="E26" s="8" t="s">
        <v>41</v>
      </c>
      <c r="F26" s="10">
        <v>176</v>
      </c>
      <c r="G26" s="10">
        <v>110</v>
      </c>
      <c r="H26" s="10">
        <v>90</v>
      </c>
      <c r="I26" s="10">
        <v>110</v>
      </c>
      <c r="J26" s="10">
        <v>90</v>
      </c>
      <c r="K26" s="8" t="s">
        <v>22</v>
      </c>
      <c r="L26" s="8"/>
      <c r="M26" s="8"/>
      <c r="N26" s="8"/>
      <c r="O26" s="8"/>
      <c r="P26" s="8"/>
      <c r="Q26" s="8"/>
      <c r="R26" s="8"/>
      <c r="S26" s="8" t="s">
        <v>56</v>
      </c>
      <c r="T26" s="8"/>
    </row>
    <row r="27" spans="1:21" ht="12.75" customHeight="1">
      <c r="A27" s="5" t="s">
        <v>276</v>
      </c>
      <c r="B27" s="8" t="s">
        <v>61</v>
      </c>
      <c r="C27" s="8" t="s">
        <v>78</v>
      </c>
      <c r="D27" s="12" t="s">
        <v>352</v>
      </c>
      <c r="E27" s="8" t="s">
        <v>41</v>
      </c>
      <c r="F27" s="10">
        <v>47</v>
      </c>
      <c r="G27" s="10">
        <v>0.3</v>
      </c>
      <c r="H27" s="10" t="s">
        <v>55</v>
      </c>
      <c r="I27" s="8"/>
      <c r="J27" s="8"/>
      <c r="K27" s="8" t="s">
        <v>22</v>
      </c>
      <c r="L27" s="8"/>
      <c r="M27" s="8"/>
      <c r="N27" s="8"/>
      <c r="O27" s="8"/>
      <c r="P27" s="8"/>
      <c r="Q27" s="8"/>
      <c r="R27" s="8"/>
      <c r="S27" s="8" t="s">
        <v>56</v>
      </c>
      <c r="T27" s="5" t="s">
        <v>183</v>
      </c>
    </row>
    <row r="28" spans="1:21" ht="12.75" customHeight="1">
      <c r="A28" s="8" t="s">
        <v>275</v>
      </c>
      <c r="B28" s="8" t="s">
        <v>61</v>
      </c>
      <c r="C28" s="8" t="s">
        <v>80</v>
      </c>
      <c r="D28" s="9" t="s">
        <v>353</v>
      </c>
      <c r="E28" s="8" t="s">
        <v>41</v>
      </c>
      <c r="F28" s="10">
        <v>173</v>
      </c>
      <c r="G28" s="10">
        <v>5</v>
      </c>
      <c r="H28" s="10">
        <v>4.5999999999999996</v>
      </c>
      <c r="I28" s="10">
        <v>5</v>
      </c>
      <c r="J28" s="10">
        <v>4.5999999999999996</v>
      </c>
      <c r="K28" s="8" t="s">
        <v>22</v>
      </c>
      <c r="L28" s="8"/>
      <c r="M28" s="8"/>
      <c r="N28" s="8"/>
      <c r="O28" s="8"/>
      <c r="P28" s="8"/>
      <c r="Q28" s="8"/>
      <c r="R28" s="8"/>
      <c r="S28" s="8" t="s">
        <v>56</v>
      </c>
      <c r="T28" s="8"/>
    </row>
    <row r="29" spans="1:21" ht="12.75" customHeight="1">
      <c r="A29" s="8" t="s">
        <v>275</v>
      </c>
      <c r="B29" s="5" t="s">
        <v>61</v>
      </c>
      <c r="C29" s="5" t="s">
        <v>82</v>
      </c>
      <c r="D29" s="6" t="s">
        <v>354</v>
      </c>
      <c r="E29" s="5" t="s">
        <v>41</v>
      </c>
      <c r="F29" s="7"/>
      <c r="G29" s="7">
        <v>20</v>
      </c>
      <c r="H29" s="7">
        <v>17</v>
      </c>
      <c r="I29" s="7">
        <v>20</v>
      </c>
      <c r="J29" s="7">
        <v>17</v>
      </c>
      <c r="K29" s="7" t="s">
        <v>55</v>
      </c>
      <c r="L29" s="7"/>
      <c r="M29" s="7"/>
      <c r="N29" s="7"/>
      <c r="O29" s="7"/>
      <c r="P29" s="7"/>
      <c r="Q29" s="7"/>
      <c r="R29" s="7"/>
      <c r="S29" s="5" t="s">
        <v>56</v>
      </c>
      <c r="T29" s="5" t="s">
        <v>186</v>
      </c>
    </row>
    <row r="30" spans="1:21" ht="12.75" customHeight="1">
      <c r="A30" s="5" t="s">
        <v>276</v>
      </c>
      <c r="B30" s="5" t="s">
        <v>61</v>
      </c>
      <c r="C30" s="5" t="s">
        <v>83</v>
      </c>
      <c r="D30" s="6" t="s">
        <v>355</v>
      </c>
      <c r="E30" s="5" t="s">
        <v>41</v>
      </c>
      <c r="F30" s="7"/>
      <c r="G30" s="7">
        <v>100</v>
      </c>
      <c r="H30" s="7">
        <v>0</v>
      </c>
      <c r="I30" s="7" t="s">
        <v>55</v>
      </c>
      <c r="J30" s="7" t="s">
        <v>55</v>
      </c>
      <c r="K30" s="7" t="s">
        <v>55</v>
      </c>
      <c r="L30" s="7"/>
      <c r="M30" s="7"/>
      <c r="N30" s="7"/>
      <c r="O30" s="7"/>
      <c r="P30" s="7"/>
      <c r="Q30" s="7"/>
      <c r="R30" s="7"/>
      <c r="S30" s="5" t="s">
        <v>56</v>
      </c>
      <c r="T30" s="5" t="s">
        <v>187</v>
      </c>
    </row>
    <row r="31" spans="1:21" ht="12.75" customHeight="1">
      <c r="A31" s="8" t="s">
        <v>275</v>
      </c>
      <c r="B31" s="8" t="s">
        <v>61</v>
      </c>
      <c r="C31" s="8" t="s">
        <v>84</v>
      </c>
      <c r="D31" s="9" t="s">
        <v>356</v>
      </c>
      <c r="E31" s="8" t="s">
        <v>41</v>
      </c>
      <c r="F31" s="10">
        <v>173</v>
      </c>
      <c r="G31" s="10">
        <v>8.6999999999999993</v>
      </c>
      <c r="H31" s="10">
        <v>8.3000000000000007</v>
      </c>
      <c r="I31" s="10">
        <v>8.65</v>
      </c>
      <c r="J31" s="10">
        <v>8.35</v>
      </c>
      <c r="K31" s="8" t="s">
        <v>22</v>
      </c>
      <c r="L31" s="8"/>
      <c r="M31" s="8"/>
      <c r="N31" s="8"/>
      <c r="O31" s="8"/>
      <c r="P31" s="8"/>
      <c r="Q31" s="8"/>
      <c r="R31" s="8"/>
      <c r="S31" s="8" t="s">
        <v>56</v>
      </c>
      <c r="T31" s="8"/>
    </row>
    <row r="32" spans="1:21" ht="12.75" customHeight="1">
      <c r="A32" s="8" t="s">
        <v>275</v>
      </c>
      <c r="B32" s="8" t="s">
        <v>86</v>
      </c>
      <c r="C32" s="8" t="s">
        <v>87</v>
      </c>
      <c r="D32" s="9" t="s">
        <v>313</v>
      </c>
      <c r="E32" s="8" t="s">
        <v>41</v>
      </c>
      <c r="F32" s="10">
        <v>124</v>
      </c>
      <c r="G32" s="10">
        <v>205</v>
      </c>
      <c r="H32" s="10">
        <v>165</v>
      </c>
      <c r="I32" s="8">
        <v>205</v>
      </c>
      <c r="J32" s="8">
        <v>165</v>
      </c>
      <c r="K32" s="8" t="s">
        <v>22</v>
      </c>
      <c r="L32" s="8"/>
      <c r="M32" s="8"/>
      <c r="N32" s="8"/>
      <c r="O32" s="8"/>
      <c r="P32" s="8"/>
      <c r="Q32" s="8"/>
      <c r="R32" s="8"/>
      <c r="S32" s="8" t="s">
        <v>56</v>
      </c>
      <c r="T32" s="8"/>
    </row>
    <row r="33" spans="1:20" ht="12.75" customHeight="1">
      <c r="A33" s="8" t="s">
        <v>275</v>
      </c>
      <c r="B33" s="8" t="s">
        <v>86</v>
      </c>
      <c r="C33" s="8" t="s">
        <v>88</v>
      </c>
      <c r="D33" s="9" t="s">
        <v>314</v>
      </c>
      <c r="E33" s="8" t="s">
        <v>41</v>
      </c>
      <c r="F33" s="10">
        <v>124</v>
      </c>
      <c r="G33" s="10">
        <v>65</v>
      </c>
      <c r="H33" s="10">
        <v>45</v>
      </c>
      <c r="I33" s="8"/>
      <c r="J33" s="8"/>
      <c r="K33" s="8" t="s">
        <v>22</v>
      </c>
      <c r="L33" s="8"/>
      <c r="M33" s="8"/>
      <c r="N33" s="8"/>
      <c r="O33" s="8"/>
      <c r="P33" s="8"/>
      <c r="Q33" s="8"/>
      <c r="R33" s="8"/>
      <c r="S33" s="8" t="s">
        <v>56</v>
      </c>
      <c r="T33" s="8"/>
    </row>
    <row r="34" spans="1:20" ht="12.75" customHeight="1">
      <c r="A34" s="8" t="s">
        <v>275</v>
      </c>
      <c r="B34" s="8" t="s">
        <v>86</v>
      </c>
      <c r="C34" s="8" t="s">
        <v>90</v>
      </c>
      <c r="D34" s="9" t="s">
        <v>315</v>
      </c>
      <c r="E34" s="8" t="s">
        <v>41</v>
      </c>
      <c r="F34" s="10">
        <v>124</v>
      </c>
      <c r="G34" s="10">
        <v>60</v>
      </c>
      <c r="H34" s="10">
        <v>30</v>
      </c>
      <c r="I34" s="8">
        <v>60</v>
      </c>
      <c r="J34" s="8">
        <v>30</v>
      </c>
      <c r="K34" s="8" t="s">
        <v>22</v>
      </c>
      <c r="L34" s="8"/>
      <c r="M34" s="8"/>
      <c r="N34" s="8"/>
      <c r="O34" s="8"/>
      <c r="P34" s="8"/>
      <c r="Q34" s="8"/>
      <c r="R34" s="8"/>
      <c r="S34" s="8" t="s">
        <v>56</v>
      </c>
      <c r="T34" s="8"/>
    </row>
    <row r="35" spans="1:20" ht="12.75" customHeight="1">
      <c r="A35" s="8" t="s">
        <v>275</v>
      </c>
      <c r="B35" s="5" t="s">
        <v>86</v>
      </c>
      <c r="C35" s="5" t="s">
        <v>92</v>
      </c>
      <c r="D35" s="6" t="s">
        <v>316</v>
      </c>
      <c r="E35" s="5" t="s">
        <v>41</v>
      </c>
      <c r="F35" s="7"/>
      <c r="G35" s="7">
        <v>20</v>
      </c>
      <c r="H35" s="7">
        <v>10</v>
      </c>
      <c r="I35" s="7">
        <v>20</v>
      </c>
      <c r="J35" s="7">
        <v>10</v>
      </c>
      <c r="K35" s="7" t="s">
        <v>55</v>
      </c>
      <c r="L35" s="7"/>
      <c r="M35" s="7"/>
      <c r="N35" s="7"/>
      <c r="O35" s="7"/>
      <c r="P35" s="7"/>
      <c r="Q35" s="7"/>
      <c r="R35" s="7"/>
      <c r="S35" s="5" t="s">
        <v>56</v>
      </c>
      <c r="T35" s="5"/>
    </row>
    <row r="36" spans="1:20" ht="12.75" customHeight="1">
      <c r="A36" s="8" t="s">
        <v>275</v>
      </c>
      <c r="B36" s="5" t="s">
        <v>86</v>
      </c>
      <c r="C36" s="5" t="s">
        <v>94</v>
      </c>
      <c r="D36" s="6" t="s">
        <v>317</v>
      </c>
      <c r="E36" s="5" t="s">
        <v>41</v>
      </c>
      <c r="F36" s="7"/>
      <c r="G36" s="7">
        <v>1.5</v>
      </c>
      <c r="H36" s="7">
        <v>0.5</v>
      </c>
      <c r="I36" s="7">
        <v>1.5</v>
      </c>
      <c r="J36" s="7">
        <v>0.5</v>
      </c>
      <c r="K36" s="7" t="s">
        <v>55</v>
      </c>
      <c r="L36" s="7"/>
      <c r="M36" s="7"/>
      <c r="N36" s="7"/>
      <c r="O36" s="7"/>
      <c r="P36" s="7"/>
      <c r="Q36" s="7"/>
      <c r="R36" s="7"/>
      <c r="S36" s="5" t="s">
        <v>56</v>
      </c>
      <c r="T36" s="5"/>
    </row>
    <row r="37" spans="1:20" ht="12.75" customHeight="1">
      <c r="A37" s="8" t="s">
        <v>275</v>
      </c>
      <c r="B37" s="8" t="s">
        <v>86</v>
      </c>
      <c r="C37" s="8" t="s">
        <v>96</v>
      </c>
      <c r="D37" s="9" t="s">
        <v>318</v>
      </c>
      <c r="E37" s="8" t="s">
        <v>41</v>
      </c>
      <c r="F37" s="10">
        <v>124</v>
      </c>
      <c r="G37" s="10">
        <v>170</v>
      </c>
      <c r="H37" s="10">
        <v>130</v>
      </c>
      <c r="I37" s="8">
        <v>170</v>
      </c>
      <c r="J37" s="8">
        <v>130</v>
      </c>
      <c r="K37" s="8" t="s">
        <v>22</v>
      </c>
      <c r="L37" s="8"/>
      <c r="M37" s="8"/>
      <c r="N37" s="8"/>
      <c r="O37" s="8"/>
      <c r="P37" s="8"/>
      <c r="Q37" s="8"/>
      <c r="R37" s="8"/>
      <c r="S37" s="8" t="s">
        <v>56</v>
      </c>
      <c r="T37" s="8"/>
    </row>
    <row r="38" spans="1:20" ht="12.75" customHeight="1">
      <c r="A38" s="8" t="s">
        <v>275</v>
      </c>
      <c r="B38" s="8" t="s">
        <v>86</v>
      </c>
      <c r="C38" s="8" t="s">
        <v>97</v>
      </c>
      <c r="D38" s="12" t="s">
        <v>319</v>
      </c>
      <c r="E38" s="8" t="s">
        <v>41</v>
      </c>
      <c r="F38" s="10">
        <v>124</v>
      </c>
      <c r="G38" s="10">
        <v>130</v>
      </c>
      <c r="H38" s="10">
        <v>110</v>
      </c>
      <c r="I38" s="8">
        <v>114</v>
      </c>
      <c r="J38" s="8">
        <v>126</v>
      </c>
      <c r="K38" s="8" t="s">
        <v>22</v>
      </c>
      <c r="L38" s="8"/>
      <c r="M38" s="8"/>
      <c r="N38" s="8"/>
      <c r="O38" s="8"/>
      <c r="P38" s="8"/>
      <c r="Q38" s="8"/>
      <c r="R38" s="8"/>
      <c r="S38" s="8" t="s">
        <v>56</v>
      </c>
      <c r="T38" s="8"/>
    </row>
    <row r="39" spans="1:20" ht="12.75" customHeight="1">
      <c r="A39" s="8" t="s">
        <v>275</v>
      </c>
      <c r="B39" s="8" t="s">
        <v>86</v>
      </c>
      <c r="C39" s="8" t="s">
        <v>99</v>
      </c>
      <c r="D39" s="9" t="s">
        <v>320</v>
      </c>
      <c r="E39" s="8" t="s">
        <v>41</v>
      </c>
      <c r="F39" s="10">
        <v>124</v>
      </c>
      <c r="G39" s="10">
        <v>60</v>
      </c>
      <c r="H39" s="10">
        <v>30</v>
      </c>
      <c r="I39" s="8">
        <v>60</v>
      </c>
      <c r="J39" s="8">
        <v>30</v>
      </c>
      <c r="K39" s="8" t="s">
        <v>22</v>
      </c>
      <c r="L39" s="8"/>
      <c r="M39" s="8"/>
      <c r="N39" s="8"/>
      <c r="O39" s="8"/>
      <c r="P39" s="8"/>
      <c r="Q39" s="8"/>
      <c r="R39" s="8"/>
      <c r="S39" s="8" t="s">
        <v>56</v>
      </c>
      <c r="T39" s="8"/>
    </row>
    <row r="40" spans="1:20" ht="12.75" customHeight="1">
      <c r="A40" s="8" t="s">
        <v>275</v>
      </c>
      <c r="B40" s="5" t="s">
        <v>86</v>
      </c>
      <c r="C40" s="5" t="s">
        <v>101</v>
      </c>
      <c r="D40" s="6" t="s">
        <v>321</v>
      </c>
      <c r="E40" s="5" t="s">
        <v>41</v>
      </c>
      <c r="F40" s="7"/>
      <c r="G40" s="7">
        <v>20</v>
      </c>
      <c r="H40" s="7">
        <v>10</v>
      </c>
      <c r="I40" s="7">
        <v>20</v>
      </c>
      <c r="J40" s="7">
        <v>10</v>
      </c>
      <c r="K40" s="7" t="s">
        <v>55</v>
      </c>
      <c r="L40" s="7"/>
      <c r="M40" s="7"/>
      <c r="N40" s="7"/>
      <c r="O40" s="7"/>
      <c r="P40" s="7"/>
      <c r="Q40" s="7"/>
      <c r="R40" s="7"/>
      <c r="S40" s="5" t="s">
        <v>56</v>
      </c>
      <c r="T40" s="5"/>
    </row>
    <row r="41" spans="1:20" ht="12.75" customHeight="1">
      <c r="A41" s="8" t="s">
        <v>275</v>
      </c>
      <c r="B41" s="5" t="s">
        <v>86</v>
      </c>
      <c r="C41" s="5" t="s">
        <v>103</v>
      </c>
      <c r="D41" s="6" t="s">
        <v>322</v>
      </c>
      <c r="E41" s="5" t="s">
        <v>41</v>
      </c>
      <c r="F41" s="7"/>
      <c r="G41" s="7">
        <v>1.5</v>
      </c>
      <c r="H41" s="7">
        <v>0.5</v>
      </c>
      <c r="I41" s="7">
        <v>1.5</v>
      </c>
      <c r="J41" s="7">
        <v>0.5</v>
      </c>
      <c r="K41" s="7" t="s">
        <v>55</v>
      </c>
      <c r="L41" s="7"/>
      <c r="M41" s="7"/>
      <c r="N41" s="7"/>
      <c r="O41" s="7"/>
      <c r="P41" s="7"/>
      <c r="Q41" s="7"/>
      <c r="R41" s="7"/>
      <c r="S41" s="5" t="s">
        <v>56</v>
      </c>
      <c r="T41" s="5"/>
    </row>
    <row r="42" spans="1:20" ht="12.75" customHeight="1">
      <c r="A42" s="5" t="s">
        <v>276</v>
      </c>
      <c r="B42" s="8" t="s">
        <v>105</v>
      </c>
      <c r="C42" s="8" t="s">
        <v>106</v>
      </c>
      <c r="D42" s="9" t="s">
        <v>357</v>
      </c>
      <c r="E42" s="8" t="s">
        <v>41</v>
      </c>
      <c r="F42" s="10">
        <v>309</v>
      </c>
      <c r="G42" s="10">
        <v>4</v>
      </c>
      <c r="H42" s="10">
        <v>2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 t="s">
        <v>26</v>
      </c>
      <c r="T42" s="8"/>
    </row>
    <row r="43" spans="1:20" ht="12.75" customHeight="1">
      <c r="A43" s="8" t="s">
        <v>275</v>
      </c>
      <c r="B43" s="5" t="s">
        <v>105</v>
      </c>
      <c r="C43" s="5" t="s">
        <v>107</v>
      </c>
      <c r="D43" s="6" t="s">
        <v>358</v>
      </c>
      <c r="E43" s="5" t="s">
        <v>41</v>
      </c>
      <c r="F43" s="7"/>
      <c r="G43" s="7">
        <v>42</v>
      </c>
      <c r="H43" s="7" t="s">
        <v>55</v>
      </c>
      <c r="I43" s="7" t="s">
        <v>55</v>
      </c>
      <c r="J43" s="7" t="s">
        <v>55</v>
      </c>
      <c r="K43" s="7" t="s">
        <v>55</v>
      </c>
      <c r="L43" s="7"/>
      <c r="M43" s="7"/>
      <c r="N43" s="7"/>
      <c r="O43" s="7"/>
      <c r="P43" s="7"/>
      <c r="Q43" s="7"/>
      <c r="R43" s="7"/>
      <c r="S43" s="5" t="s">
        <v>26</v>
      </c>
      <c r="T43" s="5"/>
    </row>
    <row r="44" spans="1:20" ht="12.75" customHeight="1">
      <c r="A44" s="5" t="s">
        <v>276</v>
      </c>
      <c r="B44" s="5" t="s">
        <v>105</v>
      </c>
      <c r="C44" s="5" t="s">
        <v>109</v>
      </c>
      <c r="D44" s="6" t="s">
        <v>359</v>
      </c>
      <c r="E44" s="5" t="s">
        <v>41</v>
      </c>
      <c r="F44" s="7"/>
      <c r="G44" s="7">
        <v>1.1499999999999999</v>
      </c>
      <c r="H44" s="7">
        <v>1.05</v>
      </c>
      <c r="I44" s="7" t="s">
        <v>55</v>
      </c>
      <c r="J44" s="7" t="s">
        <v>55</v>
      </c>
      <c r="K44" s="7" t="s">
        <v>55</v>
      </c>
      <c r="L44" s="7"/>
      <c r="M44" s="7"/>
      <c r="N44" s="7"/>
      <c r="O44" s="7"/>
      <c r="P44" s="7"/>
      <c r="Q44" s="7"/>
      <c r="R44" s="7"/>
      <c r="S44" s="5" t="s">
        <v>26</v>
      </c>
      <c r="T44" s="5"/>
    </row>
    <row r="45" spans="1:20" ht="12.75" customHeight="1">
      <c r="A45" s="8" t="s">
        <v>275</v>
      </c>
      <c r="B45" s="8" t="s">
        <v>105</v>
      </c>
      <c r="C45" s="8" t="s">
        <v>111</v>
      </c>
      <c r="D45" s="9" t="s">
        <v>360</v>
      </c>
      <c r="E45" s="8" t="s">
        <v>41</v>
      </c>
      <c r="F45" s="10">
        <v>327</v>
      </c>
      <c r="G45" s="10">
        <v>4</v>
      </c>
      <c r="H45" s="10">
        <v>2</v>
      </c>
      <c r="I45" s="8"/>
      <c r="J45" s="8"/>
      <c r="K45" s="8" t="s">
        <v>22</v>
      </c>
      <c r="L45" s="8"/>
      <c r="M45" s="8"/>
      <c r="N45" s="8"/>
      <c r="O45" s="8"/>
      <c r="P45" s="8"/>
      <c r="Q45" s="8"/>
      <c r="R45" s="8"/>
      <c r="S45" s="8" t="s">
        <v>26</v>
      </c>
      <c r="T45" s="8"/>
    </row>
    <row r="46" spans="1:20" ht="12.75" customHeight="1">
      <c r="A46" s="5" t="s">
        <v>276</v>
      </c>
      <c r="B46" s="5" t="s">
        <v>105</v>
      </c>
      <c r="C46" s="5" t="s">
        <v>113</v>
      </c>
      <c r="D46" s="6" t="s">
        <v>361</v>
      </c>
      <c r="E46" s="5" t="s">
        <v>41</v>
      </c>
      <c r="F46" s="7"/>
      <c r="G46" s="7">
        <v>300</v>
      </c>
      <c r="H46" s="7" t="s">
        <v>55</v>
      </c>
      <c r="I46" s="7" t="s">
        <v>55</v>
      </c>
      <c r="J46" s="7" t="s">
        <v>55</v>
      </c>
      <c r="K46" s="7" t="s">
        <v>55</v>
      </c>
      <c r="L46" s="7"/>
      <c r="M46" s="7"/>
      <c r="N46" s="7"/>
      <c r="O46" s="7"/>
      <c r="P46" s="7"/>
      <c r="Q46" s="7"/>
      <c r="R46" s="7"/>
      <c r="S46" s="5" t="s">
        <v>26</v>
      </c>
      <c r="T46" s="5"/>
    </row>
    <row r="47" spans="1:20" ht="12.75" customHeight="1">
      <c r="A47" s="5" t="s">
        <v>276</v>
      </c>
      <c r="B47" s="5" t="s">
        <v>105</v>
      </c>
      <c r="C47" s="5" t="s">
        <v>115</v>
      </c>
      <c r="D47" s="6" t="s">
        <v>362</v>
      </c>
      <c r="E47" s="5" t="s">
        <v>41</v>
      </c>
      <c r="F47" s="7"/>
      <c r="G47" s="7" t="s">
        <v>55</v>
      </c>
      <c r="H47" s="7">
        <v>5</v>
      </c>
      <c r="I47" s="7" t="s">
        <v>55</v>
      </c>
      <c r="J47" s="7" t="s">
        <v>55</v>
      </c>
      <c r="K47" s="7" t="s">
        <v>55</v>
      </c>
      <c r="L47" s="7"/>
      <c r="M47" s="7"/>
      <c r="N47" s="7"/>
      <c r="O47" s="7"/>
      <c r="P47" s="7"/>
      <c r="Q47" s="7"/>
      <c r="R47" s="7"/>
      <c r="S47" s="5" t="s">
        <v>26</v>
      </c>
      <c r="T47" s="5"/>
    </row>
    <row r="48" spans="1:20" ht="12.75" customHeight="1">
      <c r="A48" s="8" t="s">
        <v>275</v>
      </c>
      <c r="B48" s="8" t="s">
        <v>117</v>
      </c>
      <c r="C48" s="8" t="s">
        <v>118</v>
      </c>
      <c r="D48" s="9" t="s">
        <v>339</v>
      </c>
      <c r="E48" s="8" t="s">
        <v>41</v>
      </c>
      <c r="F48" s="10">
        <v>386</v>
      </c>
      <c r="G48" s="10">
        <v>1.2</v>
      </c>
      <c r="H48" s="10">
        <v>0.8</v>
      </c>
      <c r="I48" s="8"/>
      <c r="J48" s="8"/>
      <c r="K48" s="8" t="s">
        <v>22</v>
      </c>
      <c r="L48" s="8"/>
      <c r="M48" s="8"/>
      <c r="N48" s="8"/>
      <c r="O48" s="8"/>
      <c r="P48" s="8"/>
      <c r="Q48" s="8"/>
      <c r="R48" s="8"/>
      <c r="S48" s="8" t="s">
        <v>26</v>
      </c>
      <c r="T48" s="8"/>
    </row>
    <row r="49" spans="1:24" ht="12.75" customHeight="1">
      <c r="A49" s="5" t="s">
        <v>276</v>
      </c>
      <c r="B49" s="5" t="s">
        <v>117</v>
      </c>
      <c r="C49" s="5" t="s">
        <v>120</v>
      </c>
      <c r="D49" s="6" t="s">
        <v>340</v>
      </c>
      <c r="E49" s="5" t="s">
        <v>41</v>
      </c>
      <c r="F49" s="7"/>
      <c r="G49" s="7" t="s">
        <v>55</v>
      </c>
      <c r="H49" s="59">
        <v>10.7</v>
      </c>
      <c r="I49" s="7" t="s">
        <v>55</v>
      </c>
      <c r="J49" s="7" t="s">
        <v>55</v>
      </c>
      <c r="K49" s="7" t="s">
        <v>55</v>
      </c>
      <c r="L49" s="7"/>
      <c r="M49" s="7"/>
      <c r="N49" s="7"/>
      <c r="O49" s="7"/>
      <c r="P49" s="7"/>
      <c r="Q49" s="7"/>
      <c r="R49" s="7"/>
      <c r="S49" s="5" t="s">
        <v>26</v>
      </c>
      <c r="T49" s="5"/>
    </row>
    <row r="50" spans="1:24" ht="12.75" customHeight="1">
      <c r="A50" s="8" t="s">
        <v>275</v>
      </c>
      <c r="B50" s="8" t="s">
        <v>117</v>
      </c>
      <c r="C50" s="8" t="s">
        <v>122</v>
      </c>
      <c r="D50" s="9" t="s">
        <v>341</v>
      </c>
      <c r="E50" s="8" t="s">
        <v>41</v>
      </c>
      <c r="F50" s="10">
        <v>351</v>
      </c>
      <c r="G50" s="10">
        <v>1.2</v>
      </c>
      <c r="H50" s="10">
        <v>0.8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 t="s">
        <v>26</v>
      </c>
      <c r="T50" s="8"/>
    </row>
    <row r="51" spans="1:24" ht="12.75" customHeight="1">
      <c r="A51" s="5" t="s">
        <v>276</v>
      </c>
      <c r="B51" s="5" t="s">
        <v>117</v>
      </c>
      <c r="C51" s="5" t="s">
        <v>124</v>
      </c>
      <c r="D51" s="6" t="s">
        <v>342</v>
      </c>
      <c r="E51" s="5" t="s">
        <v>41</v>
      </c>
      <c r="F51" s="7"/>
      <c r="G51" s="7" t="s">
        <v>55</v>
      </c>
      <c r="H51" s="59">
        <v>11</v>
      </c>
      <c r="I51" s="7" t="s">
        <v>55</v>
      </c>
      <c r="J51" s="7" t="s">
        <v>55</v>
      </c>
      <c r="K51" s="7" t="s">
        <v>55</v>
      </c>
      <c r="L51" s="7"/>
      <c r="M51" s="7"/>
      <c r="N51" s="7"/>
      <c r="O51" s="7"/>
      <c r="P51" s="7"/>
      <c r="Q51" s="7"/>
      <c r="R51" s="7"/>
      <c r="S51" s="5" t="s">
        <v>26</v>
      </c>
      <c r="T51" s="5"/>
    </row>
    <row r="52" spans="1:24" ht="12.75" customHeight="1">
      <c r="A52" s="8" t="s">
        <v>275</v>
      </c>
      <c r="B52" s="8" t="s">
        <v>126</v>
      </c>
      <c r="C52" s="8" t="s">
        <v>127</v>
      </c>
      <c r="D52" s="9" t="s">
        <v>368</v>
      </c>
      <c r="E52" s="8" t="s">
        <v>41</v>
      </c>
      <c r="F52" s="10">
        <v>386</v>
      </c>
      <c r="G52" s="52" t="s">
        <v>188</v>
      </c>
      <c r="H52" s="52" t="s">
        <v>189</v>
      </c>
      <c r="I52" s="8">
        <v>14.67</v>
      </c>
      <c r="J52" s="8">
        <v>13.33</v>
      </c>
      <c r="K52" s="8"/>
      <c r="L52" s="8"/>
      <c r="M52" s="8"/>
      <c r="N52" s="8"/>
      <c r="O52" s="8"/>
      <c r="P52" s="8"/>
      <c r="Q52" s="8"/>
      <c r="R52" s="8"/>
      <c r="S52" s="8" t="s">
        <v>128</v>
      </c>
      <c r="T52" s="8" t="s">
        <v>190</v>
      </c>
      <c r="W52" s="60"/>
    </row>
    <row r="53" spans="1:24" ht="12.75" customHeight="1">
      <c r="A53" s="8" t="s">
        <v>275</v>
      </c>
      <c r="B53" s="8" t="s">
        <v>126</v>
      </c>
      <c r="C53" s="8" t="s">
        <v>129</v>
      </c>
      <c r="D53" s="12" t="s">
        <v>369</v>
      </c>
      <c r="E53" s="8" t="s">
        <v>41</v>
      </c>
      <c r="F53" s="10">
        <v>194</v>
      </c>
      <c r="G53" s="52" t="s">
        <v>188</v>
      </c>
      <c r="H53" s="52" t="s">
        <v>189</v>
      </c>
      <c r="I53" s="8">
        <v>14.67</v>
      </c>
      <c r="J53" s="8">
        <v>13.33</v>
      </c>
      <c r="K53" s="8"/>
      <c r="L53" s="8"/>
      <c r="M53" s="8"/>
      <c r="N53" s="8"/>
      <c r="O53" s="8"/>
      <c r="P53" s="8"/>
      <c r="Q53" s="8"/>
      <c r="R53" s="8"/>
      <c r="S53" s="8" t="s">
        <v>128</v>
      </c>
      <c r="T53" s="8"/>
    </row>
    <row r="54" spans="1:24" ht="12.75" customHeight="1">
      <c r="A54" s="5" t="s">
        <v>276</v>
      </c>
      <c r="B54" s="8" t="s">
        <v>126</v>
      </c>
      <c r="C54" s="8" t="s">
        <v>130</v>
      </c>
      <c r="D54" s="9" t="s">
        <v>370</v>
      </c>
      <c r="E54" s="8" t="s">
        <v>41</v>
      </c>
      <c r="F54" s="10">
        <v>276</v>
      </c>
      <c r="G54" s="10">
        <v>6</v>
      </c>
      <c r="H54" s="10">
        <v>4</v>
      </c>
      <c r="I54" s="8">
        <v>5.6</v>
      </c>
      <c r="J54" s="8">
        <v>4.3</v>
      </c>
      <c r="K54" s="8"/>
      <c r="L54" s="8"/>
      <c r="M54" s="8"/>
      <c r="N54" s="8"/>
      <c r="O54" s="8"/>
      <c r="P54" s="8"/>
      <c r="Q54" s="8"/>
      <c r="R54" s="8"/>
      <c r="S54" s="8" t="s">
        <v>128</v>
      </c>
      <c r="T54" s="8"/>
      <c r="U54" s="61"/>
      <c r="W54" s="60"/>
      <c r="X54" s="60"/>
    </row>
    <row r="55" spans="1:24" ht="12.75" customHeight="1">
      <c r="A55" s="8" t="s">
        <v>275</v>
      </c>
      <c r="B55" s="62" t="s">
        <v>131</v>
      </c>
      <c r="C55" s="62" t="s">
        <v>132</v>
      </c>
      <c r="D55" s="62" t="s">
        <v>371</v>
      </c>
      <c r="E55" s="62" t="s">
        <v>41</v>
      </c>
      <c r="F55" s="62"/>
      <c r="G55" s="52" t="s">
        <v>188</v>
      </c>
      <c r="H55" s="52" t="s">
        <v>189</v>
      </c>
      <c r="I55" s="8">
        <v>14.67</v>
      </c>
      <c r="J55" s="8">
        <v>13.33</v>
      </c>
      <c r="K55" s="62"/>
      <c r="L55" s="62"/>
      <c r="M55" s="62"/>
      <c r="N55" s="62"/>
      <c r="O55" s="62"/>
      <c r="P55" s="62"/>
      <c r="Q55" s="62"/>
      <c r="R55" s="62"/>
      <c r="S55" s="62" t="s">
        <v>128</v>
      </c>
      <c r="T55" s="62" t="s">
        <v>182</v>
      </c>
      <c r="W55" s="60"/>
    </row>
    <row r="56" spans="1:24" ht="12.75" customHeight="1">
      <c r="A56" s="8" t="s">
        <v>275</v>
      </c>
      <c r="B56" s="62" t="s">
        <v>131</v>
      </c>
      <c r="C56" s="62" t="s">
        <v>191</v>
      </c>
      <c r="D56" s="62" t="s">
        <v>372</v>
      </c>
      <c r="E56" s="62" t="s">
        <v>41</v>
      </c>
      <c r="F56" s="62"/>
      <c r="G56" s="52" t="s">
        <v>188</v>
      </c>
      <c r="H56" s="52" t="s">
        <v>189</v>
      </c>
      <c r="I56" s="8">
        <v>14.67</v>
      </c>
      <c r="J56" s="8">
        <v>13.33</v>
      </c>
      <c r="K56" s="62"/>
      <c r="L56" s="62"/>
      <c r="M56" s="62"/>
      <c r="N56" s="62"/>
      <c r="O56" s="62"/>
      <c r="P56" s="62"/>
      <c r="Q56" s="62"/>
      <c r="R56" s="62"/>
      <c r="S56" s="62" t="s">
        <v>128</v>
      </c>
      <c r="T56" s="62" t="s">
        <v>182</v>
      </c>
    </row>
    <row r="57" spans="1:24" ht="12.75" customHeight="1">
      <c r="A57" s="8" t="s">
        <v>275</v>
      </c>
      <c r="B57" s="8" t="s">
        <v>27</v>
      </c>
      <c r="C57" s="8" t="s">
        <v>133</v>
      </c>
      <c r="D57" s="9" t="s">
        <v>363</v>
      </c>
      <c r="E57" s="8" t="s">
        <v>41</v>
      </c>
      <c r="F57" s="10">
        <v>270</v>
      </c>
      <c r="G57" s="13">
        <v>4</v>
      </c>
      <c r="H57" s="13">
        <v>2</v>
      </c>
      <c r="I57" s="8">
        <v>3.8</v>
      </c>
      <c r="J57" s="8">
        <v>2.8</v>
      </c>
      <c r="K57" s="8"/>
      <c r="L57" s="8"/>
      <c r="M57" s="8"/>
      <c r="N57" s="8"/>
      <c r="O57" s="8"/>
      <c r="P57" s="8"/>
      <c r="Q57" s="8"/>
      <c r="R57" s="8"/>
      <c r="S57" s="8" t="s">
        <v>128</v>
      </c>
      <c r="T57" s="8"/>
      <c r="W57" s="60"/>
      <c r="X57" s="60"/>
    </row>
    <row r="58" spans="1:24" ht="12.75" customHeight="1">
      <c r="A58" s="8" t="s">
        <v>275</v>
      </c>
      <c r="B58" s="5" t="s">
        <v>27</v>
      </c>
      <c r="C58" s="5" t="s">
        <v>134</v>
      </c>
      <c r="D58" s="6" t="s">
        <v>364</v>
      </c>
      <c r="E58" s="5" t="s">
        <v>41</v>
      </c>
      <c r="F58" s="7"/>
      <c r="G58" s="7">
        <v>35</v>
      </c>
      <c r="H58" s="7">
        <v>10</v>
      </c>
      <c r="I58" s="7" t="s">
        <v>55</v>
      </c>
      <c r="J58" s="7" t="s">
        <v>55</v>
      </c>
      <c r="K58" s="7" t="s">
        <v>55</v>
      </c>
      <c r="L58" s="7"/>
      <c r="M58" s="7"/>
      <c r="N58" s="7"/>
      <c r="O58" s="7"/>
      <c r="P58" s="7"/>
      <c r="Q58" s="7"/>
      <c r="R58" s="7"/>
      <c r="S58" s="5" t="s">
        <v>128</v>
      </c>
      <c r="T58" s="5"/>
      <c r="U58" s="63">
        <v>30.833333333333336</v>
      </c>
      <c r="V58" s="63">
        <v>14.166666666666666</v>
      </c>
    </row>
    <row r="59" spans="1:24" ht="12.75" customHeight="1">
      <c r="A59" s="8" t="s">
        <v>275</v>
      </c>
      <c r="B59" s="5" t="s">
        <v>27</v>
      </c>
      <c r="C59" s="5" t="s">
        <v>136</v>
      </c>
      <c r="D59" s="6" t="s">
        <v>365</v>
      </c>
      <c r="E59" s="5" t="s">
        <v>41</v>
      </c>
      <c r="F59" s="7"/>
      <c r="G59" s="7">
        <v>7.5</v>
      </c>
      <c r="H59" s="7">
        <v>4.5</v>
      </c>
      <c r="I59" s="7" t="s">
        <v>55</v>
      </c>
      <c r="J59" s="7" t="s">
        <v>55</v>
      </c>
      <c r="K59" s="7" t="s">
        <v>55</v>
      </c>
      <c r="L59" s="7"/>
      <c r="M59" s="7"/>
      <c r="N59" s="7"/>
      <c r="O59" s="7"/>
      <c r="P59" s="7"/>
      <c r="Q59" s="7"/>
      <c r="R59" s="7"/>
      <c r="S59" s="5" t="s">
        <v>128</v>
      </c>
      <c r="T59" s="5"/>
      <c r="U59" s="64">
        <v>7</v>
      </c>
      <c r="V59" s="64">
        <v>5</v>
      </c>
    </row>
    <row r="60" spans="1:24" ht="12.75" customHeight="1">
      <c r="A60" s="5" t="s">
        <v>276</v>
      </c>
      <c r="B60" s="8" t="s">
        <v>27</v>
      </c>
      <c r="C60" s="8" t="s">
        <v>138</v>
      </c>
      <c r="D60" s="9" t="s">
        <v>366</v>
      </c>
      <c r="E60" s="8" t="s">
        <v>41</v>
      </c>
      <c r="F60" s="10">
        <v>110</v>
      </c>
      <c r="G60" s="10">
        <v>6</v>
      </c>
      <c r="H60" s="10">
        <v>4</v>
      </c>
      <c r="I60" s="8">
        <v>5.6</v>
      </c>
      <c r="J60" s="8">
        <v>4.3</v>
      </c>
      <c r="K60" s="8"/>
      <c r="L60" s="8"/>
      <c r="M60" s="8"/>
      <c r="N60" s="8"/>
      <c r="O60" s="8"/>
      <c r="P60" s="8"/>
      <c r="Q60" s="8"/>
      <c r="R60" s="8"/>
      <c r="S60" s="8" t="s">
        <v>128</v>
      </c>
      <c r="T60" s="8"/>
    </row>
    <row r="61" spans="1:24" ht="12.75" customHeight="1">
      <c r="A61" s="5" t="s">
        <v>276</v>
      </c>
      <c r="B61" s="5" t="s">
        <v>27</v>
      </c>
      <c r="C61" s="5" t="s">
        <v>139</v>
      </c>
      <c r="D61" s="6" t="s">
        <v>367</v>
      </c>
      <c r="E61" s="5" t="s">
        <v>41</v>
      </c>
      <c r="F61" s="7"/>
      <c r="G61" s="7" t="s">
        <v>55</v>
      </c>
      <c r="H61" s="7">
        <v>5</v>
      </c>
      <c r="I61" s="7" t="s">
        <v>55</v>
      </c>
      <c r="J61" s="7" t="s">
        <v>55</v>
      </c>
      <c r="K61" s="7" t="s">
        <v>55</v>
      </c>
      <c r="L61" s="7"/>
      <c r="M61" s="7"/>
      <c r="N61" s="7"/>
      <c r="O61" s="7"/>
      <c r="P61" s="7"/>
      <c r="Q61" s="7"/>
      <c r="R61" s="7"/>
      <c r="S61" s="5" t="s">
        <v>128</v>
      </c>
      <c r="T61" s="5"/>
    </row>
    <row r="62" spans="1:24" ht="12.75" customHeight="1">
      <c r="A62" s="8" t="s">
        <v>275</v>
      </c>
      <c r="B62" s="8" t="s">
        <v>141</v>
      </c>
      <c r="C62" s="8" t="s">
        <v>142</v>
      </c>
      <c r="D62" s="9" t="s">
        <v>333</v>
      </c>
      <c r="E62" s="8" t="s">
        <v>41</v>
      </c>
      <c r="F62" s="10">
        <v>216</v>
      </c>
      <c r="G62" s="52">
        <v>400</v>
      </c>
      <c r="H62" s="52">
        <v>150</v>
      </c>
      <c r="I62" s="50">
        <v>300</v>
      </c>
      <c r="J62" s="50">
        <v>180</v>
      </c>
      <c r="K62" s="8" t="s">
        <v>22</v>
      </c>
      <c r="L62" s="8"/>
      <c r="M62" s="8"/>
      <c r="N62" s="8"/>
      <c r="O62" s="8"/>
      <c r="P62" s="8"/>
      <c r="Q62" s="8"/>
      <c r="R62" s="8"/>
      <c r="S62" s="8" t="s">
        <v>143</v>
      </c>
      <c r="T62" s="65"/>
    </row>
    <row r="63" spans="1:24" ht="12.75" customHeight="1">
      <c r="A63" s="8" t="s">
        <v>275</v>
      </c>
      <c r="B63" s="8" t="s">
        <v>141</v>
      </c>
      <c r="C63" s="8" t="s">
        <v>144</v>
      </c>
      <c r="D63" s="9" t="s">
        <v>334</v>
      </c>
      <c r="E63" s="8" t="s">
        <v>41</v>
      </c>
      <c r="F63" s="10">
        <v>216</v>
      </c>
      <c r="G63" s="52" t="s">
        <v>192</v>
      </c>
      <c r="H63" s="10">
        <v>0.3</v>
      </c>
      <c r="I63" s="50">
        <v>0.8</v>
      </c>
      <c r="J63" s="50">
        <v>0.4</v>
      </c>
      <c r="K63" s="8"/>
      <c r="L63" s="8"/>
      <c r="M63" s="8"/>
      <c r="N63" s="8"/>
      <c r="O63" s="8"/>
      <c r="P63" s="8"/>
      <c r="Q63" s="8"/>
      <c r="R63" s="8"/>
      <c r="S63" s="8" t="s">
        <v>143</v>
      </c>
      <c r="T63" s="65"/>
    </row>
    <row r="64" spans="1:24" ht="12.75" customHeight="1">
      <c r="A64" s="8" t="s">
        <v>275</v>
      </c>
      <c r="B64" s="8" t="s">
        <v>141</v>
      </c>
      <c r="C64" s="8" t="s">
        <v>146</v>
      </c>
      <c r="D64" s="9" t="s">
        <v>335</v>
      </c>
      <c r="E64" s="8" t="s">
        <v>41</v>
      </c>
      <c r="F64" s="10">
        <v>216</v>
      </c>
      <c r="G64" s="10">
        <v>10.199999999999999</v>
      </c>
      <c r="H64" s="10">
        <v>9.8000000000000007</v>
      </c>
      <c r="I64" s="50"/>
      <c r="J64" s="50"/>
      <c r="K64" s="8"/>
      <c r="L64" s="8"/>
      <c r="M64" s="8"/>
      <c r="N64" s="8"/>
      <c r="O64" s="8"/>
      <c r="P64" s="8"/>
      <c r="Q64" s="8"/>
      <c r="R64" s="8"/>
      <c r="S64" s="8" t="s">
        <v>143</v>
      </c>
      <c r="T64" s="65"/>
    </row>
    <row r="65" spans="1:20" ht="12.75" customHeight="1">
      <c r="A65" s="8" t="s">
        <v>275</v>
      </c>
      <c r="B65" s="8" t="s">
        <v>141</v>
      </c>
      <c r="C65" s="8" t="s">
        <v>148</v>
      </c>
      <c r="D65" s="9" t="s">
        <v>336</v>
      </c>
      <c r="E65" s="8" t="s">
        <v>41</v>
      </c>
      <c r="F65" s="10">
        <v>212</v>
      </c>
      <c r="G65" s="10">
        <v>120</v>
      </c>
      <c r="H65" s="10">
        <v>80</v>
      </c>
      <c r="I65" s="50">
        <v>110</v>
      </c>
      <c r="J65" s="50">
        <v>90</v>
      </c>
      <c r="K65" s="8"/>
      <c r="L65" s="8"/>
      <c r="M65" s="8"/>
      <c r="N65" s="8"/>
      <c r="O65" s="8"/>
      <c r="P65" s="8"/>
      <c r="Q65" s="8"/>
      <c r="R65" s="8"/>
      <c r="S65" s="8" t="s">
        <v>143</v>
      </c>
      <c r="T65" s="65"/>
    </row>
    <row r="66" spans="1:20" ht="12.75" customHeight="1">
      <c r="A66" s="5" t="s">
        <v>276</v>
      </c>
      <c r="B66" s="8" t="s">
        <v>141</v>
      </c>
      <c r="C66" s="8" t="s">
        <v>149</v>
      </c>
      <c r="D66" s="9" t="s">
        <v>337</v>
      </c>
      <c r="E66" s="8" t="s">
        <v>41</v>
      </c>
      <c r="F66" s="10">
        <v>212</v>
      </c>
      <c r="G66" s="10">
        <v>6</v>
      </c>
      <c r="H66" s="10">
        <v>4</v>
      </c>
      <c r="I66" s="50"/>
      <c r="J66" s="50"/>
      <c r="K66" s="8"/>
      <c r="L66" s="8"/>
      <c r="M66" s="8"/>
      <c r="N66" s="8"/>
      <c r="O66" s="8"/>
      <c r="P66" s="8"/>
      <c r="Q66" s="8"/>
      <c r="R66" s="8"/>
      <c r="S66" s="8" t="s">
        <v>143</v>
      </c>
      <c r="T66" s="65" t="s">
        <v>193</v>
      </c>
    </row>
    <row r="67" spans="1:20" ht="12.75" customHeight="1">
      <c r="A67" s="5" t="s">
        <v>276</v>
      </c>
      <c r="B67" s="5" t="s">
        <v>141</v>
      </c>
      <c r="C67" s="5" t="s">
        <v>150</v>
      </c>
      <c r="D67" s="6" t="s">
        <v>338</v>
      </c>
      <c r="E67" s="5" t="s">
        <v>41</v>
      </c>
      <c r="F67" s="7"/>
      <c r="G67" s="7" t="s">
        <v>55</v>
      </c>
      <c r="H67" s="7">
        <v>5</v>
      </c>
      <c r="I67" s="7" t="s">
        <v>55</v>
      </c>
      <c r="J67" s="7" t="s">
        <v>55</v>
      </c>
      <c r="K67" s="7" t="s">
        <v>55</v>
      </c>
      <c r="L67" s="7"/>
      <c r="M67" s="7"/>
      <c r="N67" s="7"/>
      <c r="O67" s="7"/>
      <c r="P67" s="7"/>
      <c r="Q67" s="7"/>
      <c r="R67" s="7"/>
      <c r="S67" s="5" t="s">
        <v>143</v>
      </c>
      <c r="T67" s="5"/>
    </row>
    <row r="68" spans="1:20" ht="12.75" customHeight="1">
      <c r="A68" s="5" t="s">
        <v>276</v>
      </c>
      <c r="B68" s="8" t="s">
        <v>152</v>
      </c>
      <c r="C68" s="8" t="s">
        <v>153</v>
      </c>
      <c r="D68" s="9" t="s">
        <v>323</v>
      </c>
      <c r="E68" s="8" t="s">
        <v>41</v>
      </c>
      <c r="F68" s="10">
        <v>106</v>
      </c>
      <c r="G68" s="10">
        <v>25</v>
      </c>
      <c r="H68" s="10">
        <v>15</v>
      </c>
      <c r="I68" s="10">
        <v>23</v>
      </c>
      <c r="J68" s="10">
        <v>18</v>
      </c>
      <c r="K68" s="8" t="s">
        <v>22</v>
      </c>
      <c r="L68" s="8"/>
      <c r="M68" s="8"/>
      <c r="N68" s="8"/>
      <c r="O68" s="8"/>
      <c r="P68" s="8"/>
      <c r="Q68" s="8"/>
      <c r="R68" s="8"/>
      <c r="S68" s="8" t="s">
        <v>155</v>
      </c>
      <c r="T68" s="8"/>
    </row>
    <row r="69" spans="1:20" ht="12.75" customHeight="1">
      <c r="A69" s="5" t="s">
        <v>276</v>
      </c>
      <c r="B69" s="8" t="s">
        <v>157</v>
      </c>
      <c r="C69" s="8" t="s">
        <v>158</v>
      </c>
      <c r="D69" s="9" t="s">
        <v>324</v>
      </c>
      <c r="E69" s="8" t="s">
        <v>41</v>
      </c>
      <c r="F69" s="10">
        <v>106</v>
      </c>
      <c r="G69" s="10">
        <v>8</v>
      </c>
      <c r="H69" s="10">
        <v>4</v>
      </c>
      <c r="I69" s="10">
        <v>6</v>
      </c>
      <c r="J69" s="10">
        <v>4</v>
      </c>
      <c r="K69" s="8"/>
      <c r="L69" s="8"/>
      <c r="M69" s="8"/>
      <c r="N69" s="8"/>
      <c r="O69" s="8"/>
      <c r="P69" s="8"/>
      <c r="Q69" s="8"/>
      <c r="R69" s="8"/>
      <c r="S69" s="8" t="s">
        <v>155</v>
      </c>
      <c r="T69" s="8"/>
    </row>
    <row r="70" spans="1:20" ht="12.75" customHeight="1">
      <c r="A70" s="8" t="s">
        <v>275</v>
      </c>
      <c r="B70" s="8" t="s">
        <v>157</v>
      </c>
      <c r="C70" s="8" t="s">
        <v>160</v>
      </c>
      <c r="D70" s="9" t="s">
        <v>325</v>
      </c>
      <c r="E70" s="8" t="s">
        <v>41</v>
      </c>
      <c r="F70" s="10">
        <v>106</v>
      </c>
      <c r="G70" s="10">
        <v>200</v>
      </c>
      <c r="H70" s="10">
        <v>160</v>
      </c>
      <c r="I70" s="10">
        <v>190</v>
      </c>
      <c r="J70" s="10">
        <v>170</v>
      </c>
      <c r="K70" s="8"/>
      <c r="L70" s="8"/>
      <c r="M70" s="8"/>
      <c r="N70" s="8"/>
      <c r="O70" s="8"/>
      <c r="P70" s="8"/>
      <c r="Q70" s="8"/>
      <c r="R70" s="8"/>
      <c r="S70" s="8" t="s">
        <v>155</v>
      </c>
      <c r="T70" s="8"/>
    </row>
    <row r="71" spans="1:20" ht="12.75" customHeight="1">
      <c r="A71" s="8" t="s">
        <v>275</v>
      </c>
      <c r="B71" s="8" t="s">
        <v>157</v>
      </c>
      <c r="C71" s="8" t="s">
        <v>162</v>
      </c>
      <c r="D71" s="9" t="s">
        <v>326</v>
      </c>
      <c r="E71" s="8" t="s">
        <v>41</v>
      </c>
      <c r="F71" s="10">
        <v>106</v>
      </c>
      <c r="G71" s="10">
        <v>115</v>
      </c>
      <c r="H71" s="10">
        <v>85</v>
      </c>
      <c r="I71" s="10">
        <v>110</v>
      </c>
      <c r="J71" s="10">
        <v>90</v>
      </c>
      <c r="K71" s="8"/>
      <c r="L71" s="8"/>
      <c r="M71" s="8"/>
      <c r="N71" s="8"/>
      <c r="O71" s="8"/>
      <c r="P71" s="8"/>
      <c r="Q71" s="8"/>
      <c r="R71" s="8"/>
      <c r="S71" s="8" t="s">
        <v>155</v>
      </c>
      <c r="T71" s="8"/>
    </row>
    <row r="72" spans="1:20" ht="12.75" customHeight="1">
      <c r="A72" s="8" t="s">
        <v>275</v>
      </c>
      <c r="B72" s="8" t="s">
        <v>157</v>
      </c>
      <c r="C72" s="8" t="s">
        <v>163</v>
      </c>
      <c r="D72" s="9" t="s">
        <v>327</v>
      </c>
      <c r="E72" s="8" t="s">
        <v>41</v>
      </c>
      <c r="F72" s="10">
        <v>106</v>
      </c>
      <c r="G72" s="10">
        <v>60</v>
      </c>
      <c r="H72" s="10">
        <v>40</v>
      </c>
      <c r="I72" s="10">
        <v>60</v>
      </c>
      <c r="J72" s="10">
        <v>40</v>
      </c>
      <c r="K72" s="8"/>
      <c r="L72" s="8"/>
      <c r="M72" s="8"/>
      <c r="N72" s="8"/>
      <c r="O72" s="8"/>
      <c r="P72" s="8"/>
      <c r="Q72" s="8"/>
      <c r="R72" s="8"/>
      <c r="S72" s="8" t="s">
        <v>155</v>
      </c>
      <c r="T72" s="8"/>
    </row>
    <row r="73" spans="1:20" ht="12.75" customHeight="1">
      <c r="A73" s="8" t="s">
        <v>275</v>
      </c>
      <c r="B73" s="5" t="s">
        <v>157</v>
      </c>
      <c r="C73" s="5" t="s">
        <v>165</v>
      </c>
      <c r="D73" s="6" t="s">
        <v>328</v>
      </c>
      <c r="E73" s="5" t="s">
        <v>41</v>
      </c>
      <c r="F73" s="7"/>
      <c r="G73" s="7">
        <v>12</v>
      </c>
      <c r="H73" s="7">
        <v>8</v>
      </c>
      <c r="I73" s="7">
        <v>12</v>
      </c>
      <c r="J73" s="7">
        <v>8</v>
      </c>
      <c r="K73" s="7" t="s">
        <v>55</v>
      </c>
      <c r="L73" s="7"/>
      <c r="M73" s="7"/>
      <c r="N73" s="7"/>
      <c r="O73" s="7"/>
      <c r="P73" s="7"/>
      <c r="Q73" s="7"/>
      <c r="R73" s="7"/>
      <c r="S73" s="5" t="s">
        <v>156</v>
      </c>
      <c r="T73" s="5"/>
    </row>
    <row r="74" spans="1:20" ht="12.75" customHeight="1">
      <c r="A74" s="8" t="s">
        <v>275</v>
      </c>
      <c r="B74" s="5" t="s">
        <v>157</v>
      </c>
      <c r="C74" s="5" t="s">
        <v>167</v>
      </c>
      <c r="D74" s="6" t="s">
        <v>329</v>
      </c>
      <c r="E74" s="5" t="s">
        <v>41</v>
      </c>
      <c r="F74" s="7"/>
      <c r="G74" s="7">
        <v>1.3</v>
      </c>
      <c r="H74" s="7">
        <v>0.7</v>
      </c>
      <c r="I74" s="7">
        <v>1.3</v>
      </c>
      <c r="J74" s="7">
        <v>0.7</v>
      </c>
      <c r="K74" s="7" t="s">
        <v>55</v>
      </c>
      <c r="L74" s="7"/>
      <c r="M74" s="7"/>
      <c r="N74" s="7"/>
      <c r="O74" s="7"/>
      <c r="P74" s="7"/>
      <c r="Q74" s="7"/>
      <c r="R74" s="7"/>
      <c r="S74" s="5" t="s">
        <v>156</v>
      </c>
      <c r="T74" s="5"/>
    </row>
    <row r="75" spans="1:20" ht="12.75" customHeight="1">
      <c r="A75" s="5" t="s">
        <v>276</v>
      </c>
      <c r="B75" s="5" t="s">
        <v>157</v>
      </c>
      <c r="C75" s="5" t="s">
        <v>169</v>
      </c>
      <c r="D75" s="6" t="s">
        <v>330</v>
      </c>
      <c r="E75" s="5" t="s">
        <v>41</v>
      </c>
      <c r="F75" s="7"/>
      <c r="G75" s="7">
        <v>200</v>
      </c>
      <c r="H75" s="7">
        <v>100</v>
      </c>
      <c r="I75" s="7">
        <v>170</v>
      </c>
      <c r="J75" s="7">
        <v>130</v>
      </c>
      <c r="K75" s="7" t="s">
        <v>55</v>
      </c>
      <c r="L75" s="7"/>
      <c r="M75" s="7"/>
      <c r="N75" s="7"/>
      <c r="O75" s="7"/>
      <c r="P75" s="7"/>
      <c r="Q75" s="7"/>
      <c r="R75" s="7"/>
      <c r="S75" s="5" t="s">
        <v>155</v>
      </c>
      <c r="T75" s="5"/>
    </row>
    <row r="76" spans="1:20" ht="12.75" customHeight="1">
      <c r="A76" s="5" t="s">
        <v>276</v>
      </c>
      <c r="B76" s="5" t="s">
        <v>157</v>
      </c>
      <c r="C76" s="5" t="s">
        <v>171</v>
      </c>
      <c r="D76" s="6" t="s">
        <v>331</v>
      </c>
      <c r="E76" s="5" t="s">
        <v>41</v>
      </c>
      <c r="F76" s="7"/>
      <c r="G76" s="7">
        <v>160</v>
      </c>
      <c r="H76" s="7">
        <v>120</v>
      </c>
      <c r="I76" s="7">
        <v>150</v>
      </c>
      <c r="J76" s="7">
        <v>130</v>
      </c>
      <c r="K76" s="7" t="s">
        <v>55</v>
      </c>
      <c r="L76" s="7"/>
      <c r="M76" s="7"/>
      <c r="N76" s="7"/>
      <c r="O76" s="7"/>
      <c r="P76" s="7"/>
      <c r="Q76" s="7"/>
      <c r="R76" s="7"/>
      <c r="S76" s="5" t="s">
        <v>155</v>
      </c>
      <c r="T76" s="5"/>
    </row>
    <row r="77" spans="1:20" ht="12.75" customHeight="1" thickBot="1">
      <c r="A77" s="5" t="s">
        <v>276</v>
      </c>
      <c r="B77" s="14" t="s">
        <v>157</v>
      </c>
      <c r="C77" s="14" t="s">
        <v>173</v>
      </c>
      <c r="D77" s="15" t="s">
        <v>332</v>
      </c>
      <c r="E77" s="14" t="s">
        <v>41</v>
      </c>
      <c r="F77" s="16"/>
      <c r="G77" s="16">
        <v>100</v>
      </c>
      <c r="H77" s="16" t="s">
        <v>55</v>
      </c>
      <c r="I77" s="16">
        <v>100</v>
      </c>
      <c r="J77" s="16" t="s">
        <v>55</v>
      </c>
      <c r="K77" s="16" t="s">
        <v>55</v>
      </c>
      <c r="L77" s="16"/>
      <c r="M77" s="16"/>
      <c r="N77" s="16"/>
      <c r="O77" s="16"/>
      <c r="P77" s="16"/>
      <c r="Q77" s="16"/>
      <c r="R77" s="16"/>
      <c r="S77" s="14" t="s">
        <v>155</v>
      </c>
      <c r="T77" s="14"/>
    </row>
    <row r="78" spans="1:20" ht="12.75" hidden="1" customHeight="1">
      <c r="A78" s="5"/>
      <c r="B78" s="62" t="s">
        <v>194</v>
      </c>
      <c r="C78" s="62"/>
      <c r="D78" s="66" t="s">
        <v>195</v>
      </c>
      <c r="E78" s="62" t="s">
        <v>41</v>
      </c>
      <c r="F78" s="67"/>
      <c r="G78" s="67">
        <v>22</v>
      </c>
      <c r="H78" s="67">
        <v>18</v>
      </c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 t="s">
        <v>56</v>
      </c>
      <c r="T78" s="62" t="s">
        <v>196</v>
      </c>
    </row>
    <row r="79" spans="1:20" ht="13.5" hidden="1">
      <c r="A79" s="5"/>
      <c r="B79" s="62" t="s">
        <v>197</v>
      </c>
      <c r="C79" s="62"/>
      <c r="D79" s="68" t="s">
        <v>198</v>
      </c>
      <c r="E79" s="62" t="s">
        <v>41</v>
      </c>
      <c r="F79" s="67"/>
      <c r="G79" s="67">
        <v>9</v>
      </c>
      <c r="H79" s="67">
        <v>7</v>
      </c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 t="s">
        <v>56</v>
      </c>
      <c r="T79" s="62" t="s">
        <v>199</v>
      </c>
    </row>
    <row r="80" spans="1:20" ht="13.5" hidden="1">
      <c r="A80" s="5"/>
      <c r="B80" s="62" t="s">
        <v>197</v>
      </c>
      <c r="C80" s="62"/>
      <c r="D80" s="68" t="s">
        <v>200</v>
      </c>
      <c r="E80" s="62" t="s">
        <v>41</v>
      </c>
      <c r="F80" s="67"/>
      <c r="G80" s="67">
        <v>13.8</v>
      </c>
      <c r="H80" s="67">
        <v>12.8</v>
      </c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 t="s">
        <v>56</v>
      </c>
      <c r="T80" s="62" t="s">
        <v>199</v>
      </c>
    </row>
    <row r="81" spans="1:20" ht="13.5" hidden="1">
      <c r="A81" s="5"/>
      <c r="B81" s="62" t="s">
        <v>197</v>
      </c>
      <c r="C81" s="62"/>
      <c r="D81" s="66" t="s">
        <v>201</v>
      </c>
      <c r="E81" s="62" t="s">
        <v>41</v>
      </c>
      <c r="F81" s="67"/>
      <c r="G81" s="67">
        <v>165</v>
      </c>
      <c r="H81" s="67">
        <v>135</v>
      </c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 t="s">
        <v>56</v>
      </c>
      <c r="T81" s="62" t="s">
        <v>199</v>
      </c>
    </row>
    <row r="82" spans="1:20" ht="13.5" hidden="1">
      <c r="A82" s="5"/>
      <c r="B82" s="62" t="s">
        <v>197</v>
      </c>
      <c r="C82" s="62"/>
      <c r="D82" s="66" t="s">
        <v>202</v>
      </c>
      <c r="E82" s="62" t="s">
        <v>41</v>
      </c>
      <c r="F82" s="67"/>
      <c r="G82" s="67">
        <v>11</v>
      </c>
      <c r="H82" s="67">
        <v>9.5</v>
      </c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 t="s">
        <v>56</v>
      </c>
      <c r="T82" s="62" t="s">
        <v>199</v>
      </c>
    </row>
    <row r="83" spans="1:20" ht="13.5" hidden="1">
      <c r="A83" s="5"/>
      <c r="B83" s="62" t="s">
        <v>197</v>
      </c>
      <c r="C83" s="62"/>
      <c r="D83" s="68" t="s">
        <v>203</v>
      </c>
      <c r="E83" s="62" t="s">
        <v>41</v>
      </c>
      <c r="F83" s="67"/>
      <c r="G83" s="67">
        <v>0.2</v>
      </c>
      <c r="H83" s="67">
        <v>0.1</v>
      </c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 t="s">
        <v>56</v>
      </c>
      <c r="T83" s="62" t="s">
        <v>199</v>
      </c>
    </row>
    <row r="84" spans="1:20" ht="13.5" hidden="1">
      <c r="A84" s="5"/>
      <c r="B84" s="62" t="s">
        <v>197</v>
      </c>
      <c r="C84" s="62"/>
      <c r="D84" s="68" t="s">
        <v>204</v>
      </c>
      <c r="E84" s="62" t="s">
        <v>41</v>
      </c>
      <c r="F84" s="67"/>
      <c r="G84" s="67">
        <v>1.18</v>
      </c>
      <c r="H84" s="67">
        <v>1.1200000000000001</v>
      </c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 t="s">
        <v>56</v>
      </c>
      <c r="T84" s="62" t="s">
        <v>199</v>
      </c>
    </row>
    <row r="85" spans="1:20" ht="13.5" hidden="1">
      <c r="A85" s="5"/>
      <c r="B85" s="62" t="s">
        <v>197</v>
      </c>
      <c r="C85" s="62"/>
      <c r="D85" s="66" t="s">
        <v>205</v>
      </c>
      <c r="E85" s="62" t="s">
        <v>41</v>
      </c>
      <c r="F85" s="67"/>
      <c r="G85" s="67">
        <v>0.9</v>
      </c>
      <c r="H85" s="67">
        <v>0.4</v>
      </c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 t="s">
        <v>56</v>
      </c>
      <c r="T85" s="62" t="s">
        <v>199</v>
      </c>
    </row>
    <row r="86" spans="1:20" ht="13.5" hidden="1">
      <c r="A86" s="5"/>
      <c r="B86" s="62" t="s">
        <v>197</v>
      </c>
      <c r="C86" s="62"/>
      <c r="D86" s="66" t="s">
        <v>206</v>
      </c>
      <c r="E86" s="62" t="s">
        <v>41</v>
      </c>
      <c r="F86" s="67"/>
      <c r="G86" s="67">
        <v>12</v>
      </c>
      <c r="H86" s="67">
        <v>9</v>
      </c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2" t="s">
        <v>56</v>
      </c>
      <c r="T86" s="62" t="s">
        <v>199</v>
      </c>
    </row>
    <row r="87" spans="1:20" ht="13.5" hidden="1">
      <c r="A87" s="5"/>
      <c r="B87" s="62" t="s">
        <v>197</v>
      </c>
      <c r="C87" s="62"/>
      <c r="D87" s="66" t="s">
        <v>207</v>
      </c>
      <c r="E87" s="62" t="s">
        <v>41</v>
      </c>
      <c r="F87" s="67"/>
      <c r="G87" s="67">
        <v>20</v>
      </c>
      <c r="H87" s="67">
        <v>16</v>
      </c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 t="s">
        <v>56</v>
      </c>
      <c r="T87" s="62" t="s">
        <v>199</v>
      </c>
    </row>
    <row r="88" spans="1:20" ht="13.5" hidden="1">
      <c r="A88" s="5"/>
      <c r="B88" s="62" t="s">
        <v>197</v>
      </c>
      <c r="C88" s="62"/>
      <c r="D88" s="66" t="s">
        <v>208</v>
      </c>
      <c r="E88" s="62" t="s">
        <v>41</v>
      </c>
      <c r="F88" s="67"/>
      <c r="G88" s="67">
        <v>110</v>
      </c>
      <c r="H88" s="67">
        <v>90</v>
      </c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 t="s">
        <v>56</v>
      </c>
      <c r="T88" s="62" t="s">
        <v>199</v>
      </c>
    </row>
    <row r="89" spans="1:20" ht="13.5" hidden="1">
      <c r="A89" s="5"/>
      <c r="B89" s="62" t="s">
        <v>197</v>
      </c>
      <c r="C89" s="62"/>
      <c r="D89" s="68" t="s">
        <v>209</v>
      </c>
      <c r="E89" s="62" t="s">
        <v>41</v>
      </c>
      <c r="F89" s="67"/>
      <c r="G89" s="67">
        <v>0.3</v>
      </c>
      <c r="H89" s="67" t="s">
        <v>55</v>
      </c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 t="s">
        <v>56</v>
      </c>
      <c r="T89" s="62" t="s">
        <v>199</v>
      </c>
    </row>
    <row r="90" spans="1:20" ht="13.5" hidden="1">
      <c r="A90" s="5"/>
      <c r="B90" s="62" t="s">
        <v>197</v>
      </c>
      <c r="C90" s="62"/>
      <c r="D90" s="66" t="s">
        <v>210</v>
      </c>
      <c r="E90" s="62" t="s">
        <v>41</v>
      </c>
      <c r="F90" s="67"/>
      <c r="G90" s="67">
        <v>5</v>
      </c>
      <c r="H90" s="67">
        <v>4.5999999999999996</v>
      </c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 t="s">
        <v>56</v>
      </c>
      <c r="T90" s="62" t="s">
        <v>199</v>
      </c>
    </row>
    <row r="91" spans="1:20" ht="13.5" hidden="1">
      <c r="A91" s="5"/>
      <c r="B91" s="62" t="s">
        <v>197</v>
      </c>
      <c r="C91" s="62"/>
      <c r="D91" s="66" t="s">
        <v>211</v>
      </c>
      <c r="E91" s="62" t="s">
        <v>41</v>
      </c>
      <c r="F91" s="67"/>
      <c r="G91" s="67">
        <v>20</v>
      </c>
      <c r="H91" s="67">
        <v>17</v>
      </c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2" t="s">
        <v>56</v>
      </c>
      <c r="T91" s="62" t="s">
        <v>199</v>
      </c>
    </row>
    <row r="92" spans="1:20" ht="13.5" hidden="1">
      <c r="A92" s="5"/>
      <c r="B92" s="62" t="s">
        <v>197</v>
      </c>
      <c r="C92" s="62"/>
      <c r="D92" s="66" t="s">
        <v>212</v>
      </c>
      <c r="E92" s="62" t="s">
        <v>41</v>
      </c>
      <c r="F92" s="67"/>
      <c r="G92" s="67">
        <v>100</v>
      </c>
      <c r="H92" s="67" t="s">
        <v>55</v>
      </c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2" t="s">
        <v>56</v>
      </c>
      <c r="T92" s="62" t="s">
        <v>199</v>
      </c>
    </row>
    <row r="93" spans="1:20" ht="13.5" hidden="1">
      <c r="A93" s="5"/>
      <c r="B93" s="62" t="s">
        <v>197</v>
      </c>
      <c r="C93" s="62"/>
      <c r="D93" s="66" t="s">
        <v>213</v>
      </c>
      <c r="E93" s="62" t="s">
        <v>41</v>
      </c>
      <c r="F93" s="67"/>
      <c r="G93" s="67">
        <v>8.6999999999999993</v>
      </c>
      <c r="H93" s="67">
        <v>8.3000000000000007</v>
      </c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 t="s">
        <v>56</v>
      </c>
      <c r="T93" s="62" t="s">
        <v>199</v>
      </c>
    </row>
    <row r="94" spans="1:20" ht="12.75" customHeight="1">
      <c r="A94" s="5" t="s">
        <v>276</v>
      </c>
      <c r="B94" s="62" t="s">
        <v>214</v>
      </c>
      <c r="C94" s="62" t="s">
        <v>215</v>
      </c>
      <c r="D94" s="68" t="s">
        <v>373</v>
      </c>
      <c r="E94" s="62" t="s">
        <v>41</v>
      </c>
      <c r="F94" s="67"/>
      <c r="G94" s="67">
        <v>120</v>
      </c>
      <c r="H94" s="67">
        <v>80</v>
      </c>
      <c r="I94" s="67">
        <v>110</v>
      </c>
      <c r="J94" s="67">
        <v>90</v>
      </c>
      <c r="K94" s="62"/>
      <c r="L94" s="62"/>
      <c r="M94" s="62"/>
      <c r="N94" s="62"/>
      <c r="O94" s="62"/>
      <c r="P94" s="62"/>
      <c r="Q94" s="62"/>
      <c r="R94" s="62"/>
      <c r="S94" s="62" t="s">
        <v>155</v>
      </c>
      <c r="T94" s="62" t="s">
        <v>216</v>
      </c>
    </row>
    <row r="95" spans="1:20" ht="12.75" customHeight="1">
      <c r="A95" s="5" t="s">
        <v>276</v>
      </c>
      <c r="B95" s="62" t="s">
        <v>217</v>
      </c>
      <c r="C95" s="62" t="s">
        <v>218</v>
      </c>
      <c r="D95" s="68" t="s">
        <v>159</v>
      </c>
      <c r="E95" s="62" t="s">
        <v>41</v>
      </c>
      <c r="F95" s="67"/>
      <c r="G95" s="67">
        <v>6</v>
      </c>
      <c r="H95" s="67">
        <v>4</v>
      </c>
      <c r="I95" s="67">
        <v>6</v>
      </c>
      <c r="J95" s="67">
        <v>4</v>
      </c>
      <c r="K95" s="62"/>
      <c r="L95" s="62"/>
      <c r="M95" s="62"/>
      <c r="N95" s="62"/>
      <c r="O95" s="62"/>
      <c r="P95" s="62"/>
      <c r="Q95" s="62"/>
      <c r="R95" s="62"/>
      <c r="S95" s="62" t="s">
        <v>155</v>
      </c>
      <c r="T95" s="62" t="s">
        <v>216</v>
      </c>
    </row>
    <row r="96" spans="1:20" ht="12.75" customHeight="1">
      <c r="A96" s="8" t="s">
        <v>275</v>
      </c>
      <c r="B96" s="62" t="s">
        <v>217</v>
      </c>
      <c r="C96" s="62" t="s">
        <v>219</v>
      </c>
      <c r="D96" s="66" t="s">
        <v>161</v>
      </c>
      <c r="E96" s="62" t="s">
        <v>41</v>
      </c>
      <c r="F96" s="67"/>
      <c r="G96" s="67">
        <v>110</v>
      </c>
      <c r="H96" s="67">
        <v>90</v>
      </c>
      <c r="I96" s="67">
        <v>110</v>
      </c>
      <c r="J96" s="67">
        <v>90</v>
      </c>
      <c r="K96" s="62"/>
      <c r="L96" s="62"/>
      <c r="M96" s="62"/>
      <c r="N96" s="62"/>
      <c r="O96" s="62"/>
      <c r="P96" s="62"/>
      <c r="Q96" s="62"/>
      <c r="R96" s="62"/>
      <c r="S96" s="62" t="s">
        <v>155</v>
      </c>
      <c r="T96" s="62" t="s">
        <v>216</v>
      </c>
    </row>
    <row r="97" spans="1:20" ht="12.75" customHeight="1">
      <c r="A97" s="8" t="s">
        <v>275</v>
      </c>
      <c r="B97" s="62" t="s">
        <v>217</v>
      </c>
      <c r="C97" s="62" t="s">
        <v>220</v>
      </c>
      <c r="D97" s="66" t="s">
        <v>294</v>
      </c>
      <c r="E97" s="62" t="s">
        <v>41</v>
      </c>
      <c r="F97" s="67"/>
      <c r="G97" s="67">
        <v>210</v>
      </c>
      <c r="H97" s="67">
        <v>190</v>
      </c>
      <c r="I97" s="67">
        <v>205</v>
      </c>
      <c r="J97" s="67">
        <v>195</v>
      </c>
      <c r="K97" s="62"/>
      <c r="L97" s="62"/>
      <c r="M97" s="62"/>
      <c r="N97" s="62"/>
      <c r="O97" s="62"/>
      <c r="P97" s="62"/>
      <c r="Q97" s="62"/>
      <c r="R97" s="62"/>
      <c r="S97" s="62" t="s">
        <v>155</v>
      </c>
      <c r="T97" s="62" t="s">
        <v>216</v>
      </c>
    </row>
    <row r="98" spans="1:20" ht="12.75" customHeight="1">
      <c r="A98" s="8" t="s">
        <v>275</v>
      </c>
      <c r="B98" s="62" t="s">
        <v>217</v>
      </c>
      <c r="C98" s="62" t="s">
        <v>221</v>
      </c>
      <c r="D98" s="66" t="s">
        <v>164</v>
      </c>
      <c r="E98" s="62" t="s">
        <v>41</v>
      </c>
      <c r="F98" s="67"/>
      <c r="G98" s="67">
        <v>35</v>
      </c>
      <c r="H98" s="67">
        <v>25</v>
      </c>
      <c r="I98" s="67">
        <v>35</v>
      </c>
      <c r="J98" s="67">
        <v>25</v>
      </c>
      <c r="K98" s="62"/>
      <c r="L98" s="62"/>
      <c r="M98" s="62"/>
      <c r="N98" s="62"/>
      <c r="O98" s="62"/>
      <c r="P98" s="62"/>
      <c r="Q98" s="62"/>
      <c r="R98" s="62"/>
      <c r="S98" s="62" t="s">
        <v>155</v>
      </c>
      <c r="T98" s="62" t="s">
        <v>216</v>
      </c>
    </row>
    <row r="99" spans="1:20" ht="12.75" customHeight="1">
      <c r="A99" s="8" t="s">
        <v>275</v>
      </c>
      <c r="B99" s="62" t="s">
        <v>217</v>
      </c>
      <c r="C99" s="62" t="s">
        <v>222</v>
      </c>
      <c r="D99" s="66" t="s">
        <v>223</v>
      </c>
      <c r="E99" s="62" t="s">
        <v>41</v>
      </c>
      <c r="F99" s="67"/>
      <c r="G99" s="67">
        <v>6</v>
      </c>
      <c r="H99" s="67">
        <v>2</v>
      </c>
      <c r="I99" s="67">
        <v>6</v>
      </c>
      <c r="J99" s="67">
        <v>2</v>
      </c>
      <c r="K99" s="67"/>
      <c r="L99" s="67"/>
      <c r="M99" s="67"/>
      <c r="N99" s="67"/>
      <c r="O99" s="67"/>
      <c r="P99" s="67"/>
      <c r="Q99" s="67"/>
      <c r="R99" s="67"/>
      <c r="S99" s="62" t="s">
        <v>156</v>
      </c>
      <c r="T99" s="62" t="s">
        <v>216</v>
      </c>
    </row>
    <row r="100" spans="1:20" ht="12.75" customHeight="1">
      <c r="A100" s="8" t="s">
        <v>275</v>
      </c>
      <c r="B100" s="62" t="s">
        <v>217</v>
      </c>
      <c r="C100" s="62" t="s">
        <v>224</v>
      </c>
      <c r="D100" s="66" t="s">
        <v>225</v>
      </c>
      <c r="E100" s="62" t="s">
        <v>41</v>
      </c>
      <c r="F100" s="67"/>
      <c r="G100" s="67">
        <v>4</v>
      </c>
      <c r="H100" s="67">
        <v>2</v>
      </c>
      <c r="I100" s="67">
        <v>4</v>
      </c>
      <c r="J100" s="67">
        <v>2</v>
      </c>
      <c r="K100" s="67"/>
      <c r="L100" s="67"/>
      <c r="M100" s="67"/>
      <c r="N100" s="67"/>
      <c r="O100" s="67"/>
      <c r="P100" s="67"/>
      <c r="Q100" s="67"/>
      <c r="R100" s="67"/>
      <c r="S100" s="62" t="s">
        <v>156</v>
      </c>
      <c r="T100" s="62" t="s">
        <v>216</v>
      </c>
    </row>
    <row r="101" spans="1:20" ht="12.75" customHeight="1">
      <c r="A101" s="8" t="s">
        <v>275</v>
      </c>
      <c r="B101" s="62" t="s">
        <v>217</v>
      </c>
      <c r="C101" s="62" t="s">
        <v>226</v>
      </c>
      <c r="D101" s="66" t="s">
        <v>227</v>
      </c>
      <c r="E101" s="62" t="s">
        <v>41</v>
      </c>
      <c r="F101" s="67"/>
      <c r="G101" s="67">
        <v>15</v>
      </c>
      <c r="H101" s="67">
        <v>9</v>
      </c>
      <c r="I101" s="67">
        <v>15</v>
      </c>
      <c r="J101" s="67">
        <v>9</v>
      </c>
      <c r="K101" s="67"/>
      <c r="L101" s="67"/>
      <c r="M101" s="67"/>
      <c r="N101" s="67"/>
      <c r="O101" s="67"/>
      <c r="P101" s="67"/>
      <c r="Q101" s="67"/>
      <c r="R101" s="67"/>
      <c r="S101" s="62" t="s">
        <v>156</v>
      </c>
      <c r="T101" s="62" t="s">
        <v>216</v>
      </c>
    </row>
    <row r="102" spans="1:20" ht="12.75" customHeight="1">
      <c r="A102" s="5" t="s">
        <v>276</v>
      </c>
      <c r="B102" s="62" t="s">
        <v>217</v>
      </c>
      <c r="C102" s="62" t="s">
        <v>228</v>
      </c>
      <c r="D102" s="66" t="s">
        <v>374</v>
      </c>
      <c r="E102" s="62" t="s">
        <v>41</v>
      </c>
      <c r="F102" s="67"/>
      <c r="G102" s="67">
        <v>200</v>
      </c>
      <c r="H102" s="67">
        <v>100</v>
      </c>
      <c r="I102" s="67">
        <v>170</v>
      </c>
      <c r="J102" s="67">
        <v>130</v>
      </c>
      <c r="K102" s="67"/>
      <c r="L102" s="67"/>
      <c r="M102" s="67"/>
      <c r="N102" s="67"/>
      <c r="O102" s="67"/>
      <c r="P102" s="67"/>
      <c r="Q102" s="67"/>
      <c r="R102" s="67"/>
      <c r="S102" s="62" t="s">
        <v>155</v>
      </c>
      <c r="T102" s="62" t="s">
        <v>216</v>
      </c>
    </row>
    <row r="103" spans="1:20" ht="12.75" customHeight="1">
      <c r="A103" s="5" t="s">
        <v>276</v>
      </c>
      <c r="B103" s="62" t="s">
        <v>217</v>
      </c>
      <c r="C103" s="62" t="s">
        <v>229</v>
      </c>
      <c r="D103" s="66" t="s">
        <v>172</v>
      </c>
      <c r="E103" s="62" t="s">
        <v>41</v>
      </c>
      <c r="F103" s="67"/>
      <c r="G103" s="67">
        <v>160</v>
      </c>
      <c r="H103" s="67">
        <v>120</v>
      </c>
      <c r="I103" s="67">
        <v>150</v>
      </c>
      <c r="J103" s="67">
        <v>130</v>
      </c>
      <c r="K103" s="67"/>
      <c r="L103" s="67"/>
      <c r="M103" s="67"/>
      <c r="N103" s="67"/>
      <c r="O103" s="67"/>
      <c r="P103" s="67"/>
      <c r="Q103" s="67"/>
      <c r="R103" s="67"/>
      <c r="S103" s="62" t="s">
        <v>155</v>
      </c>
      <c r="T103" s="62" t="s">
        <v>216</v>
      </c>
    </row>
    <row r="104" spans="1:20" ht="12.75" customHeight="1">
      <c r="A104" s="5" t="s">
        <v>276</v>
      </c>
      <c r="B104" s="62" t="s">
        <v>217</v>
      </c>
      <c r="C104" s="62" t="s">
        <v>230</v>
      </c>
      <c r="D104" s="66" t="s">
        <v>174</v>
      </c>
      <c r="E104" s="62" t="s">
        <v>41</v>
      </c>
      <c r="F104" s="67"/>
      <c r="G104" s="67">
        <v>100</v>
      </c>
      <c r="H104" s="67" t="s">
        <v>55</v>
      </c>
      <c r="I104" s="67">
        <v>100</v>
      </c>
      <c r="J104" s="67" t="s">
        <v>55</v>
      </c>
      <c r="K104" s="67"/>
      <c r="L104" s="67"/>
      <c r="M104" s="67"/>
      <c r="N104" s="67"/>
      <c r="O104" s="67"/>
      <c r="P104" s="67"/>
      <c r="Q104" s="67"/>
      <c r="R104" s="67"/>
      <c r="S104" s="62" t="s">
        <v>155</v>
      </c>
      <c r="T104" s="62" t="s">
        <v>216</v>
      </c>
    </row>
    <row r="105" spans="1:20" ht="13.5">
      <c r="A105" s="5" t="s">
        <v>276</v>
      </c>
      <c r="B105" s="62" t="s">
        <v>46</v>
      </c>
      <c r="C105" s="62" t="s">
        <v>231</v>
      </c>
      <c r="D105" s="66" t="s">
        <v>375</v>
      </c>
      <c r="E105" s="62" t="s">
        <v>41</v>
      </c>
      <c r="F105" s="67"/>
      <c r="G105" s="67">
        <v>4</v>
      </c>
      <c r="H105" s="67">
        <v>2</v>
      </c>
      <c r="I105" s="67">
        <v>3.2</v>
      </c>
      <c r="J105" s="67">
        <v>4</v>
      </c>
      <c r="K105" s="67"/>
      <c r="L105" s="67"/>
      <c r="M105" s="67"/>
      <c r="N105" s="67"/>
      <c r="O105" s="67"/>
      <c r="P105" s="67"/>
      <c r="Q105" s="67"/>
      <c r="R105" s="67"/>
      <c r="S105" s="62" t="s">
        <v>23</v>
      </c>
      <c r="T105" s="62" t="s">
        <v>182</v>
      </c>
    </row>
    <row r="106" spans="1:20" ht="13.5">
      <c r="A106" s="8" t="s">
        <v>275</v>
      </c>
      <c r="B106" s="62" t="s">
        <v>232</v>
      </c>
      <c r="C106" s="62" t="s">
        <v>233</v>
      </c>
      <c r="D106" s="66" t="s">
        <v>234</v>
      </c>
      <c r="E106" s="62" t="s">
        <v>41</v>
      </c>
      <c r="F106" s="67"/>
      <c r="G106" s="67">
        <v>42</v>
      </c>
      <c r="H106" s="67" t="s">
        <v>55</v>
      </c>
      <c r="I106" s="67">
        <v>12</v>
      </c>
      <c r="J106" s="67">
        <v>15</v>
      </c>
      <c r="K106" s="67"/>
      <c r="L106" s="67"/>
      <c r="M106" s="67"/>
      <c r="N106" s="67"/>
      <c r="O106" s="67"/>
      <c r="P106" s="67"/>
      <c r="Q106" s="67"/>
      <c r="R106" s="67"/>
      <c r="S106" s="62" t="s">
        <v>23</v>
      </c>
      <c r="T106" s="62" t="s">
        <v>216</v>
      </c>
    </row>
    <row r="107" spans="1:20" ht="13.5">
      <c r="A107" s="5" t="s">
        <v>276</v>
      </c>
      <c r="B107" s="62" t="s">
        <v>232</v>
      </c>
      <c r="C107" s="62" t="s">
        <v>235</v>
      </c>
      <c r="D107" s="66" t="s">
        <v>236</v>
      </c>
      <c r="E107" s="62" t="s">
        <v>41</v>
      </c>
      <c r="F107" s="67"/>
      <c r="G107" s="67">
        <v>1.1499999999999999</v>
      </c>
      <c r="H107" s="67">
        <v>1.05</v>
      </c>
      <c r="I107" s="67">
        <v>1.06</v>
      </c>
      <c r="J107" s="67">
        <v>1.1399999999999999</v>
      </c>
      <c r="K107" s="67"/>
      <c r="L107" s="67"/>
      <c r="M107" s="67"/>
      <c r="N107" s="67"/>
      <c r="O107" s="67"/>
      <c r="P107" s="67"/>
      <c r="Q107" s="67"/>
      <c r="R107" s="67"/>
      <c r="S107" s="62" t="s">
        <v>23</v>
      </c>
      <c r="T107" s="62" t="s">
        <v>216</v>
      </c>
    </row>
    <row r="108" spans="1:20" ht="13.5">
      <c r="A108" s="8" t="s">
        <v>275</v>
      </c>
      <c r="B108" s="62" t="s">
        <v>232</v>
      </c>
      <c r="C108" s="62" t="s">
        <v>237</v>
      </c>
      <c r="D108" s="66" t="s">
        <v>376</v>
      </c>
      <c r="E108" s="62" t="s">
        <v>41</v>
      </c>
      <c r="F108" s="67"/>
      <c r="G108" s="67">
        <v>4</v>
      </c>
      <c r="H108" s="67">
        <v>2</v>
      </c>
      <c r="I108" s="67">
        <v>2.5</v>
      </c>
      <c r="J108" s="67">
        <v>4</v>
      </c>
      <c r="K108" s="67"/>
      <c r="L108" s="67"/>
      <c r="M108" s="67"/>
      <c r="N108" s="67"/>
      <c r="O108" s="67"/>
      <c r="P108" s="67"/>
      <c r="Q108" s="67"/>
      <c r="R108" s="67"/>
      <c r="S108" s="62" t="s">
        <v>23</v>
      </c>
      <c r="T108" s="62" t="s">
        <v>216</v>
      </c>
    </row>
    <row r="109" spans="1:20" ht="13.5">
      <c r="A109" s="5" t="s">
        <v>276</v>
      </c>
      <c r="B109" s="62" t="s">
        <v>232</v>
      </c>
      <c r="C109" s="62" t="s">
        <v>238</v>
      </c>
      <c r="D109" s="66" t="s">
        <v>239</v>
      </c>
      <c r="E109" s="62" t="s">
        <v>41</v>
      </c>
      <c r="F109" s="67"/>
      <c r="G109" s="67">
        <v>300</v>
      </c>
      <c r="H109" s="67" t="s">
        <v>55</v>
      </c>
      <c r="I109" s="67" t="s">
        <v>55</v>
      </c>
      <c r="J109" s="67">
        <v>300</v>
      </c>
      <c r="K109" s="67"/>
      <c r="L109" s="67"/>
      <c r="M109" s="67"/>
      <c r="N109" s="67"/>
      <c r="O109" s="67"/>
      <c r="P109" s="67"/>
      <c r="Q109" s="67"/>
      <c r="R109" s="67"/>
      <c r="S109" s="62" t="s">
        <v>23</v>
      </c>
      <c r="T109" s="62" t="s">
        <v>216</v>
      </c>
    </row>
    <row r="110" spans="1:20" ht="13.5">
      <c r="A110" s="5" t="s">
        <v>276</v>
      </c>
      <c r="B110" s="62" t="s">
        <v>232</v>
      </c>
      <c r="C110" s="62" t="s">
        <v>240</v>
      </c>
      <c r="D110" s="66" t="s">
        <v>241</v>
      </c>
      <c r="E110" s="62" t="s">
        <v>41</v>
      </c>
      <c r="F110" s="67"/>
      <c r="G110" s="67" t="s">
        <v>55</v>
      </c>
      <c r="H110" s="67">
        <v>5</v>
      </c>
      <c r="I110" s="67">
        <v>5</v>
      </c>
      <c r="J110" s="67" t="s">
        <v>55</v>
      </c>
      <c r="K110" s="67"/>
      <c r="L110" s="67"/>
      <c r="M110" s="67"/>
      <c r="N110" s="67"/>
      <c r="O110" s="67"/>
      <c r="P110" s="67"/>
      <c r="Q110" s="67"/>
      <c r="R110" s="67"/>
      <c r="S110" s="62" t="s">
        <v>23</v>
      </c>
      <c r="T110" s="62" t="s">
        <v>216</v>
      </c>
    </row>
    <row r="111" spans="1:20" ht="13.5">
      <c r="A111" s="8" t="s">
        <v>275</v>
      </c>
      <c r="B111" s="62" t="s">
        <v>242</v>
      </c>
      <c r="C111" s="62" t="s">
        <v>243</v>
      </c>
      <c r="D111" s="68" t="s">
        <v>244</v>
      </c>
      <c r="E111" s="62" t="s">
        <v>41</v>
      </c>
      <c r="F111" s="67"/>
      <c r="G111" s="67">
        <v>1.2</v>
      </c>
      <c r="H111" s="67">
        <v>0.8</v>
      </c>
      <c r="I111" s="67">
        <v>1</v>
      </c>
      <c r="J111" s="67">
        <v>1.1499999999999999</v>
      </c>
      <c r="K111" s="67"/>
      <c r="L111" s="67"/>
      <c r="M111" s="67"/>
      <c r="N111" s="67"/>
      <c r="O111" s="67"/>
      <c r="P111" s="67"/>
      <c r="Q111" s="67"/>
      <c r="R111" s="67"/>
      <c r="S111" s="62" t="s">
        <v>23</v>
      </c>
      <c r="T111" s="62" t="s">
        <v>216</v>
      </c>
    </row>
    <row r="112" spans="1:20" ht="13.5">
      <c r="A112" s="5" t="s">
        <v>276</v>
      </c>
      <c r="B112" s="62" t="s">
        <v>245</v>
      </c>
      <c r="C112" s="62" t="s">
        <v>246</v>
      </c>
      <c r="D112" s="66" t="s">
        <v>247</v>
      </c>
      <c r="E112" s="62" t="s">
        <v>41</v>
      </c>
      <c r="F112" s="67"/>
      <c r="G112" s="67" t="s">
        <v>55</v>
      </c>
      <c r="H112" s="67">
        <v>10.7</v>
      </c>
      <c r="I112" s="67" t="s">
        <v>55</v>
      </c>
      <c r="J112" s="67">
        <v>10.7</v>
      </c>
      <c r="K112" s="67"/>
      <c r="L112" s="67"/>
      <c r="M112" s="67"/>
      <c r="N112" s="67"/>
      <c r="O112" s="67"/>
      <c r="P112" s="67"/>
      <c r="Q112" s="67"/>
      <c r="R112" s="67"/>
      <c r="S112" s="62" t="s">
        <v>23</v>
      </c>
      <c r="T112" s="62" t="s">
        <v>216</v>
      </c>
    </row>
    <row r="113" spans="1:22" ht="13.5">
      <c r="A113" s="8" t="s">
        <v>275</v>
      </c>
      <c r="B113" s="62" t="s">
        <v>245</v>
      </c>
      <c r="C113" s="62" t="s">
        <v>248</v>
      </c>
      <c r="D113" s="68" t="s">
        <v>249</v>
      </c>
      <c r="E113" s="62" t="s">
        <v>41</v>
      </c>
      <c r="F113" s="67"/>
      <c r="G113" s="67">
        <v>1.2</v>
      </c>
      <c r="H113" s="67">
        <v>0.8</v>
      </c>
      <c r="I113" s="67">
        <v>1</v>
      </c>
      <c r="J113" s="67">
        <v>1.1499999999999999</v>
      </c>
      <c r="K113" s="67"/>
      <c r="L113" s="67"/>
      <c r="M113" s="67"/>
      <c r="N113" s="67"/>
      <c r="O113" s="67"/>
      <c r="P113" s="67"/>
      <c r="Q113" s="67"/>
      <c r="R113" s="67"/>
      <c r="S113" s="62" t="s">
        <v>23</v>
      </c>
      <c r="T113" s="62" t="s">
        <v>216</v>
      </c>
    </row>
    <row r="114" spans="1:22" ht="13.5">
      <c r="A114" s="5" t="s">
        <v>276</v>
      </c>
      <c r="B114" s="62" t="s">
        <v>245</v>
      </c>
      <c r="C114" s="62" t="s">
        <v>250</v>
      </c>
      <c r="D114" s="68" t="s">
        <v>251</v>
      </c>
      <c r="E114" s="62" t="s">
        <v>41</v>
      </c>
      <c r="F114" s="67"/>
      <c r="G114" s="67" t="s">
        <v>55</v>
      </c>
      <c r="H114" s="67">
        <v>10.7</v>
      </c>
      <c r="I114" s="67" t="s">
        <v>55</v>
      </c>
      <c r="J114" s="67">
        <v>10.7</v>
      </c>
      <c r="K114" s="67"/>
      <c r="L114" s="67"/>
      <c r="M114" s="67"/>
      <c r="N114" s="67"/>
      <c r="O114" s="67"/>
      <c r="P114" s="67"/>
      <c r="Q114" s="67"/>
      <c r="R114" s="67"/>
      <c r="S114" s="62" t="s">
        <v>23</v>
      </c>
      <c r="T114" s="62" t="s">
        <v>216</v>
      </c>
    </row>
    <row r="115" spans="1:22" ht="13.5">
      <c r="A115" s="8" t="s">
        <v>275</v>
      </c>
      <c r="B115" s="62" t="s">
        <v>245</v>
      </c>
      <c r="C115" s="62" t="s">
        <v>252</v>
      </c>
      <c r="D115" s="68" t="s">
        <v>253</v>
      </c>
      <c r="E115" s="62" t="s">
        <v>41</v>
      </c>
      <c r="F115" s="67"/>
      <c r="G115" s="67">
        <v>1.2</v>
      </c>
      <c r="H115" s="67">
        <v>0.8</v>
      </c>
      <c r="I115" s="67" t="s">
        <v>55</v>
      </c>
      <c r="J115" s="67" t="s">
        <v>55</v>
      </c>
      <c r="K115" s="67"/>
      <c r="L115" s="67"/>
      <c r="M115" s="67"/>
      <c r="N115" s="67"/>
      <c r="O115" s="67"/>
      <c r="P115" s="67"/>
      <c r="Q115" s="67"/>
      <c r="R115" s="67"/>
      <c r="S115" s="62" t="s">
        <v>23</v>
      </c>
      <c r="T115" s="62" t="s">
        <v>216</v>
      </c>
    </row>
    <row r="116" spans="1:22" ht="13.5">
      <c r="A116" s="5" t="s">
        <v>276</v>
      </c>
      <c r="B116" s="62" t="s">
        <v>245</v>
      </c>
      <c r="C116" s="62" t="s">
        <v>254</v>
      </c>
      <c r="D116" s="68" t="s">
        <v>255</v>
      </c>
      <c r="E116" s="62" t="s">
        <v>41</v>
      </c>
      <c r="F116" s="67"/>
      <c r="G116" s="67" t="s">
        <v>55</v>
      </c>
      <c r="H116" s="69">
        <v>11</v>
      </c>
      <c r="I116" s="67" t="s">
        <v>55</v>
      </c>
      <c r="J116" s="67" t="s">
        <v>55</v>
      </c>
      <c r="K116" s="67"/>
      <c r="L116" s="67"/>
      <c r="M116" s="67"/>
      <c r="N116" s="67"/>
      <c r="O116" s="67"/>
      <c r="P116" s="67"/>
      <c r="Q116" s="67"/>
      <c r="R116" s="67"/>
      <c r="S116" s="62" t="s">
        <v>23</v>
      </c>
      <c r="T116" s="62" t="s">
        <v>216</v>
      </c>
    </row>
    <row r="117" spans="1:22" ht="13.5">
      <c r="A117" s="8" t="s">
        <v>275</v>
      </c>
      <c r="B117" s="62" t="s">
        <v>256</v>
      </c>
      <c r="C117" s="62" t="s">
        <v>257</v>
      </c>
      <c r="D117" s="66" t="s">
        <v>377</v>
      </c>
      <c r="E117" s="62" t="s">
        <v>41</v>
      </c>
      <c r="F117" s="67"/>
      <c r="G117" s="69" t="s">
        <v>258</v>
      </c>
      <c r="H117" s="69" t="s">
        <v>259</v>
      </c>
      <c r="I117" s="67">
        <v>17.670000000000002</v>
      </c>
      <c r="J117" s="67">
        <v>16.329999999999998</v>
      </c>
      <c r="K117" s="67"/>
      <c r="L117" s="67"/>
      <c r="M117" s="67"/>
      <c r="N117" s="67"/>
      <c r="O117" s="67"/>
      <c r="P117" s="67"/>
      <c r="Q117" s="67"/>
      <c r="R117" s="67"/>
      <c r="S117" s="62" t="s">
        <v>128</v>
      </c>
      <c r="T117" s="62" t="s">
        <v>190</v>
      </c>
    </row>
    <row r="118" spans="1:22" ht="13.5">
      <c r="A118" s="8" t="s">
        <v>275</v>
      </c>
      <c r="B118" s="62" t="s">
        <v>256</v>
      </c>
      <c r="C118" s="62" t="s">
        <v>260</v>
      </c>
      <c r="D118" s="66" t="s">
        <v>378</v>
      </c>
      <c r="E118" s="62" t="s">
        <v>41</v>
      </c>
      <c r="F118" s="67"/>
      <c r="G118" s="69" t="s">
        <v>258</v>
      </c>
      <c r="H118" s="69" t="s">
        <v>259</v>
      </c>
      <c r="I118" s="67">
        <v>17.670000000000002</v>
      </c>
      <c r="J118" s="67">
        <v>16.329999999999998</v>
      </c>
      <c r="K118" s="67"/>
      <c r="L118" s="67"/>
      <c r="M118" s="67"/>
      <c r="N118" s="67"/>
      <c r="O118" s="67"/>
      <c r="P118" s="67"/>
      <c r="Q118" s="67"/>
      <c r="R118" s="67"/>
      <c r="S118" s="62" t="s">
        <v>128</v>
      </c>
      <c r="T118" s="62" t="s">
        <v>216</v>
      </c>
    </row>
    <row r="119" spans="1:22" ht="13.5">
      <c r="A119" s="8" t="s">
        <v>275</v>
      </c>
      <c r="B119" s="62" t="s">
        <v>256</v>
      </c>
      <c r="C119" s="62" t="s">
        <v>261</v>
      </c>
      <c r="D119" s="66" t="s">
        <v>379</v>
      </c>
      <c r="E119" s="62" t="s">
        <v>41</v>
      </c>
      <c r="F119" s="67"/>
      <c r="G119" s="69" t="s">
        <v>258</v>
      </c>
      <c r="H119" s="69" t="s">
        <v>259</v>
      </c>
      <c r="I119" s="67">
        <v>17.670000000000002</v>
      </c>
      <c r="J119" s="67">
        <v>16.329999999999998</v>
      </c>
      <c r="K119" s="67"/>
      <c r="L119" s="67"/>
      <c r="M119" s="67"/>
      <c r="N119" s="67"/>
      <c r="O119" s="67"/>
      <c r="P119" s="67"/>
      <c r="Q119" s="67"/>
      <c r="R119" s="67"/>
      <c r="S119" s="62" t="s">
        <v>128</v>
      </c>
      <c r="T119" s="62" t="s">
        <v>216</v>
      </c>
    </row>
    <row r="120" spans="1:22" ht="13.5">
      <c r="A120" s="5" t="s">
        <v>276</v>
      </c>
      <c r="B120" s="62" t="s">
        <v>256</v>
      </c>
      <c r="C120" s="62" t="s">
        <v>262</v>
      </c>
      <c r="D120" s="66" t="s">
        <v>380</v>
      </c>
      <c r="E120" s="62" t="s">
        <v>41</v>
      </c>
      <c r="F120" s="67"/>
      <c r="G120" s="67">
        <v>6</v>
      </c>
      <c r="H120" s="67">
        <v>4</v>
      </c>
      <c r="I120" s="67">
        <v>5.6</v>
      </c>
      <c r="J120" s="67">
        <v>4.3</v>
      </c>
      <c r="K120" s="67"/>
      <c r="L120" s="67"/>
      <c r="M120" s="67"/>
      <c r="N120" s="67"/>
      <c r="O120" s="67"/>
      <c r="P120" s="67"/>
      <c r="Q120" s="67"/>
      <c r="R120" s="67"/>
      <c r="S120" s="62" t="s">
        <v>128</v>
      </c>
      <c r="T120" s="62" t="s">
        <v>216</v>
      </c>
    </row>
    <row r="121" spans="1:22" ht="13.5">
      <c r="A121" s="8" t="s">
        <v>275</v>
      </c>
      <c r="B121" s="62" t="s">
        <v>256</v>
      </c>
      <c r="C121" s="62" t="s">
        <v>263</v>
      </c>
      <c r="D121" s="66" t="s">
        <v>381</v>
      </c>
      <c r="E121" s="62" t="s">
        <v>41</v>
      </c>
      <c r="F121" s="67"/>
      <c r="G121" s="69" t="s">
        <v>258</v>
      </c>
      <c r="H121" s="69" t="s">
        <v>259</v>
      </c>
      <c r="I121" s="67">
        <v>17.670000000000002</v>
      </c>
      <c r="J121" s="67">
        <v>16.329999999999998</v>
      </c>
      <c r="K121" s="67"/>
      <c r="L121" s="67"/>
      <c r="M121" s="67"/>
      <c r="N121" s="67"/>
      <c r="O121" s="67"/>
      <c r="P121" s="67"/>
      <c r="Q121" s="67"/>
      <c r="R121" s="67"/>
      <c r="S121" s="62" t="s">
        <v>128</v>
      </c>
      <c r="T121" s="62" t="s">
        <v>216</v>
      </c>
    </row>
    <row r="122" spans="1:22" ht="13.5">
      <c r="A122" s="8" t="s">
        <v>275</v>
      </c>
      <c r="B122" s="62" t="s">
        <v>256</v>
      </c>
      <c r="C122" s="62" t="s">
        <v>264</v>
      </c>
      <c r="D122" s="66" t="s">
        <v>382</v>
      </c>
      <c r="E122" s="62" t="s">
        <v>41</v>
      </c>
      <c r="F122" s="67"/>
      <c r="G122" s="69" t="s">
        <v>258</v>
      </c>
      <c r="H122" s="69" t="s">
        <v>259</v>
      </c>
      <c r="I122" s="67">
        <v>17.670000000000002</v>
      </c>
      <c r="J122" s="67">
        <v>16.329999999999998</v>
      </c>
      <c r="K122" s="67"/>
      <c r="L122" s="67"/>
      <c r="M122" s="67"/>
      <c r="N122" s="67"/>
      <c r="O122" s="67"/>
      <c r="P122" s="67"/>
      <c r="Q122" s="67"/>
      <c r="R122" s="67"/>
      <c r="S122" s="62" t="s">
        <v>128</v>
      </c>
      <c r="T122" s="62" t="s">
        <v>216</v>
      </c>
    </row>
    <row r="123" spans="1:22" ht="13.5">
      <c r="A123" s="8" t="s">
        <v>275</v>
      </c>
      <c r="B123" s="62" t="s">
        <v>34</v>
      </c>
      <c r="C123" s="62" t="s">
        <v>265</v>
      </c>
      <c r="D123" s="66" t="s">
        <v>383</v>
      </c>
      <c r="E123" s="62" t="s">
        <v>41</v>
      </c>
      <c r="F123" s="67"/>
      <c r="G123" s="67">
        <v>5</v>
      </c>
      <c r="H123" s="67">
        <v>3</v>
      </c>
      <c r="I123" s="67">
        <v>4.5999999999999996</v>
      </c>
      <c r="J123" s="67">
        <v>3.3</v>
      </c>
      <c r="K123" s="67"/>
      <c r="L123" s="67"/>
      <c r="M123" s="67"/>
      <c r="N123" s="67"/>
      <c r="O123" s="67"/>
      <c r="P123" s="67"/>
      <c r="Q123" s="67"/>
      <c r="R123" s="67"/>
      <c r="S123" s="62" t="s">
        <v>128</v>
      </c>
      <c r="T123" s="62" t="s">
        <v>216</v>
      </c>
    </row>
    <row r="124" spans="1:22" ht="13.5">
      <c r="A124" s="5" t="s">
        <v>276</v>
      </c>
      <c r="B124" s="62" t="s">
        <v>34</v>
      </c>
      <c r="C124" s="62" t="s">
        <v>266</v>
      </c>
      <c r="D124" s="66" t="s">
        <v>267</v>
      </c>
      <c r="E124" s="62" t="s">
        <v>41</v>
      </c>
      <c r="F124" s="67"/>
      <c r="G124" s="67">
        <v>35</v>
      </c>
      <c r="H124" s="67">
        <v>10</v>
      </c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2" t="s">
        <v>128</v>
      </c>
      <c r="T124" s="62" t="s">
        <v>216</v>
      </c>
      <c r="U124" s="63">
        <v>30.833333333333336</v>
      </c>
      <c r="V124" s="63">
        <v>14.166666666666666</v>
      </c>
    </row>
    <row r="125" spans="1:22" ht="13.5">
      <c r="A125" s="8" t="s">
        <v>275</v>
      </c>
      <c r="B125" s="62" t="s">
        <v>34</v>
      </c>
      <c r="C125" s="62" t="s">
        <v>268</v>
      </c>
      <c r="D125" s="66" t="s">
        <v>269</v>
      </c>
      <c r="E125" s="62" t="s">
        <v>41</v>
      </c>
      <c r="F125" s="67"/>
      <c r="G125" s="67">
        <v>6.5</v>
      </c>
      <c r="H125" s="67">
        <v>3.5</v>
      </c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2" t="s">
        <v>128</v>
      </c>
      <c r="T125" s="62" t="s">
        <v>216</v>
      </c>
      <c r="U125" s="64">
        <v>7</v>
      </c>
      <c r="V125" s="64">
        <v>5</v>
      </c>
    </row>
    <row r="126" spans="1:22" ht="13.5">
      <c r="A126" s="8" t="s">
        <v>275</v>
      </c>
      <c r="B126" s="62" t="s">
        <v>34</v>
      </c>
      <c r="C126" s="62" t="s">
        <v>270</v>
      </c>
      <c r="D126" s="66" t="s">
        <v>271</v>
      </c>
      <c r="E126" s="62" t="s">
        <v>41</v>
      </c>
      <c r="F126" s="67"/>
      <c r="G126" s="67">
        <v>5</v>
      </c>
      <c r="H126" s="67">
        <v>3</v>
      </c>
      <c r="I126" s="67">
        <v>4.5999999999999996</v>
      </c>
      <c r="J126" s="67">
        <v>3.3</v>
      </c>
      <c r="K126" s="67"/>
      <c r="L126" s="67"/>
      <c r="M126" s="67"/>
      <c r="N126" s="67"/>
      <c r="O126" s="67"/>
      <c r="P126" s="67"/>
      <c r="Q126" s="67"/>
      <c r="R126" s="67"/>
      <c r="S126" s="62" t="s">
        <v>128</v>
      </c>
      <c r="T126" s="62" t="s">
        <v>216</v>
      </c>
    </row>
    <row r="127" spans="1:22" ht="13.5">
      <c r="A127" s="5" t="s">
        <v>276</v>
      </c>
      <c r="B127" s="62" t="s">
        <v>34</v>
      </c>
      <c r="C127" s="66"/>
      <c r="D127" s="66" t="s">
        <v>385</v>
      </c>
      <c r="E127" s="62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2"/>
      <c r="T127" s="62"/>
    </row>
    <row r="128" spans="1:22" ht="13.5">
      <c r="A128" s="8" t="s">
        <v>275</v>
      </c>
      <c r="B128" s="62" t="s">
        <v>34</v>
      </c>
      <c r="C128" s="62" t="s">
        <v>272</v>
      </c>
      <c r="D128" s="66" t="s">
        <v>273</v>
      </c>
      <c r="E128" s="62" t="s">
        <v>41</v>
      </c>
      <c r="F128" s="67"/>
      <c r="G128" s="67">
        <v>2.5</v>
      </c>
      <c r="H128" s="67">
        <v>0.5</v>
      </c>
      <c r="I128" s="67">
        <v>2.2000000000000002</v>
      </c>
      <c r="J128" s="67">
        <v>0.8</v>
      </c>
      <c r="K128" s="67"/>
      <c r="L128" s="67"/>
      <c r="M128" s="67"/>
      <c r="N128" s="67"/>
      <c r="O128" s="67"/>
      <c r="P128" s="67"/>
      <c r="Q128" s="67"/>
      <c r="R128" s="67"/>
      <c r="S128" s="62" t="s">
        <v>128</v>
      </c>
      <c r="T128" s="62" t="s">
        <v>216</v>
      </c>
    </row>
    <row r="129" spans="1:20" ht="13.5">
      <c r="A129" s="5" t="s">
        <v>276</v>
      </c>
      <c r="B129" s="62" t="s">
        <v>34</v>
      </c>
      <c r="C129" s="62" t="s">
        <v>274</v>
      </c>
      <c r="D129" s="66" t="s">
        <v>384</v>
      </c>
      <c r="E129" s="62" t="s">
        <v>41</v>
      </c>
      <c r="F129" s="67"/>
      <c r="G129" s="67">
        <v>6</v>
      </c>
      <c r="H129" s="67">
        <v>4</v>
      </c>
      <c r="I129" s="67">
        <v>5.6</v>
      </c>
      <c r="J129" s="67">
        <v>4.3</v>
      </c>
      <c r="K129" s="67"/>
      <c r="L129" s="67"/>
      <c r="M129" s="67"/>
      <c r="N129" s="67"/>
      <c r="O129" s="67"/>
      <c r="P129" s="67"/>
      <c r="Q129" s="67"/>
      <c r="R129" s="67"/>
      <c r="S129" s="62" t="s">
        <v>128</v>
      </c>
      <c r="T129" s="62" t="s">
        <v>216</v>
      </c>
    </row>
  </sheetData>
  <autoFilter ref="A1:U129" xr:uid="{836EB933-6E1A-43B0-943B-39FE96AA7531}">
    <filterColumn colId="0">
      <customFilters>
        <customFilter operator="notEqual" val=" "/>
      </customFilters>
    </filterColumn>
  </autoFilter>
  <mergeCells count="1">
    <mergeCell ref="U19:U20"/>
  </mergeCells>
  <phoneticPr fontId="3" type="noConversion"/>
  <hyperlinks>
    <hyperlink ref="C15" r:id="rId1" xr:uid="{DB94E649-9089-48FA-AA01-1471F481076F}"/>
    <hyperlink ref="C17" r:id="rId2" xr:uid="{DF79E06A-0EE4-4FAA-9C42-C310B678CCD0}"/>
    <hyperlink ref="C18" r:id="rId3" xr:uid="{03A1F196-403B-478A-9ADD-D693BC565D69}"/>
    <hyperlink ref="C19" r:id="rId4" xr:uid="{F8150AA6-DD6F-4054-B34B-F9C81AD83D5E}"/>
    <hyperlink ref="C20" r:id="rId5" xr:uid="{50A50CE3-74F8-4E6E-AFAE-A8D305C354E6}"/>
    <hyperlink ref="C21" r:id="rId6" xr:uid="{08224E48-F129-46FD-ABFC-36230A0787B3}"/>
    <hyperlink ref="C22" r:id="rId7" xr:uid="{3A2C2B77-ECF5-42B9-8E28-6469C2521897}"/>
    <hyperlink ref="C23" r:id="rId8" xr:uid="{A133FC94-6C5F-4B11-B38F-2DC002FB2F22}"/>
    <hyperlink ref="C24" r:id="rId9" xr:uid="{5E56FA89-E689-43B8-BDBE-131F18F72B23}"/>
    <hyperlink ref="C26" r:id="rId10" xr:uid="{FA8DC7AE-BEFD-49F1-A68C-E5D1FBAF0957}"/>
    <hyperlink ref="C27" r:id="rId11" xr:uid="{DD0FDC48-D2D3-4D2F-A2F2-A21F5B55B9D0}"/>
    <hyperlink ref="C28" r:id="rId12" xr:uid="{D0ECE666-99A2-46C0-9691-B05384F43F3D}"/>
    <hyperlink ref="C31" r:id="rId13" xr:uid="{1B604E2C-5E65-4B70-A67F-C1F1F321DE8E}"/>
    <hyperlink ref="C32" r:id="rId14" xr:uid="{81B72882-0F74-4C33-A016-2F15019AD2DB}"/>
    <hyperlink ref="C33" r:id="rId15" xr:uid="{5F0DA5C3-C898-4286-928B-2B96783ADF84}"/>
    <hyperlink ref="C34" r:id="rId16" xr:uid="{B4004F78-F258-4F19-836F-E1FA9A6A3DAA}"/>
    <hyperlink ref="C37" r:id="rId17" xr:uid="{97E8821C-8925-4FD8-B87C-528C8D40168C}"/>
    <hyperlink ref="C38" r:id="rId18" xr:uid="{9BF92244-5740-42A5-81B1-9417A15D0717}"/>
    <hyperlink ref="C39" r:id="rId19" xr:uid="{D91BFA5D-2932-4562-87F4-0E7952A83224}"/>
  </hyperlinks>
  <pageMargins left="0.7" right="0.7" top="0.75" bottom="0.75" header="0.3" footer="0.3"/>
  <pageSetup paperSize="9" orientation="landscape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SPC review-7月</vt:lpstr>
      <vt:lpstr>新增&amp;調整管制項目-final</vt:lpstr>
      <vt:lpstr>'SPC review-7月'!Print_Area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林玠廷</dc:creator>
  <cp:lastModifiedBy>丁義豪</cp:lastModifiedBy>
  <cp:lastPrinted>2026-06-04T08:04:22Z</cp:lastPrinted>
  <dcterms:created xsi:type="dcterms:W3CDTF">2026-05-28T07:17:44Z</dcterms:created>
  <dcterms:modified xsi:type="dcterms:W3CDTF">2026-08-10T08:13:40Z</dcterms:modified>
</cp:coreProperties>
</file>