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L:\產線-品保部\03_QC\01_IQC.IPQC\製二藥水分析\IPQC-藥水分析記錄表\"/>
    </mc:Choice>
  </mc:AlternateContent>
  <xr:revisionPtr revIDLastSave="0" documentId="13_ncr:1_{360DDE46-3C04-4030-901F-A597030C8801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CN" sheetId="16" r:id="rId1"/>
    <sheet name="N1 (開)" sheetId="26" r:id="rId2"/>
    <sheet name="N1 (收)" sheetId="28" r:id="rId3"/>
    <sheet name="N2 (開)" sheetId="22" r:id="rId4"/>
    <sheet name="N2 (收)" sheetId="30" r:id="rId5"/>
    <sheet name="C1" sheetId="20" r:id="rId6"/>
    <sheet name="C3" sheetId="19" r:id="rId7"/>
    <sheet name="C5" sheetId="21" r:id="rId8"/>
    <sheet name="DP" sheetId="14" r:id="rId9"/>
    <sheet name="舊線" sheetId="10" r:id="rId10"/>
    <sheet name="新線" sheetId="11" r:id="rId11"/>
    <sheet name="F值" sheetId="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11" l="1"/>
  <c r="L25" i="11"/>
  <c r="L24" i="11"/>
  <c r="L9" i="11"/>
  <c r="L8" i="11"/>
  <c r="L24" i="10"/>
  <c r="L23" i="10"/>
  <c r="L21" i="10"/>
  <c r="L13" i="10"/>
  <c r="L9" i="10"/>
  <c r="L8" i="10"/>
  <c r="L13" i="14"/>
  <c r="L8" i="14"/>
  <c r="L7" i="14"/>
  <c r="L16" i="21"/>
  <c r="L14" i="21"/>
  <c r="L13" i="21"/>
  <c r="L12" i="21"/>
  <c r="L11" i="21"/>
  <c r="L9" i="21"/>
  <c r="L15" i="19"/>
  <c r="L13" i="19"/>
  <c r="L12" i="19"/>
  <c r="L11" i="19"/>
  <c r="L10" i="19"/>
  <c r="Q20" i="30"/>
  <c r="M20" i="30"/>
  <c r="L20" i="30"/>
  <c r="K20" i="30"/>
  <c r="P19" i="30"/>
  <c r="Q19" i="30" s="1"/>
  <c r="J19" i="30"/>
  <c r="P18" i="30"/>
  <c r="Q18" i="30" s="1"/>
  <c r="J18" i="30"/>
  <c r="P17" i="30"/>
  <c r="Q17" i="30" s="1"/>
  <c r="J17" i="30"/>
  <c r="P16" i="30"/>
  <c r="Q16" i="30" s="1"/>
  <c r="J16" i="30"/>
  <c r="P15" i="30"/>
  <c r="Q15" i="30" s="1"/>
  <c r="J15" i="30"/>
  <c r="P14" i="30"/>
  <c r="Q14" i="30" s="1"/>
  <c r="J14" i="30"/>
  <c r="P13" i="30"/>
  <c r="Q13" i="30" s="1"/>
  <c r="J13" i="30"/>
  <c r="P12" i="30"/>
  <c r="Q12" i="30" s="1"/>
  <c r="J12" i="30"/>
  <c r="Q11" i="30"/>
  <c r="L11" i="30"/>
  <c r="K11" i="30"/>
  <c r="P10" i="30"/>
  <c r="Q10" i="30" s="1"/>
  <c r="J10" i="30"/>
  <c r="Q9" i="30"/>
  <c r="L9" i="30"/>
  <c r="K9" i="30"/>
  <c r="Q8" i="30"/>
  <c r="L8" i="30"/>
  <c r="K8" i="30"/>
  <c r="P7" i="30"/>
  <c r="Q7" i="30" s="1"/>
  <c r="J7" i="30"/>
  <c r="M18" i="22"/>
  <c r="M17" i="22"/>
  <c r="M12" i="22"/>
  <c r="M10" i="22"/>
  <c r="N13" i="20"/>
  <c r="O13" i="20" s="1"/>
  <c r="N8" i="20"/>
  <c r="O8" i="20" s="1"/>
  <c r="M20" i="22"/>
  <c r="Q21" i="28"/>
  <c r="K21" i="28"/>
  <c r="P20" i="28"/>
  <c r="Q20" i="28" s="1"/>
  <c r="J20" i="28"/>
  <c r="K20" i="28" s="1"/>
  <c r="P19" i="28"/>
  <c r="Q19" i="28" s="1"/>
  <c r="J19" i="28"/>
  <c r="K19" i="28" s="1"/>
  <c r="P18" i="28"/>
  <c r="Q18" i="28" s="1"/>
  <c r="J18" i="28"/>
  <c r="K18" i="28" s="1"/>
  <c r="P17" i="28"/>
  <c r="Q17" i="28" s="1"/>
  <c r="J17" i="28"/>
  <c r="K17" i="28" s="1"/>
  <c r="P16" i="28"/>
  <c r="Q16" i="28" s="1"/>
  <c r="J16" i="28"/>
  <c r="K16" i="28" s="1"/>
  <c r="P15" i="28"/>
  <c r="Q15" i="28" s="1"/>
  <c r="J15" i="28"/>
  <c r="K15" i="28" s="1"/>
  <c r="P14" i="28"/>
  <c r="Q14" i="28" s="1"/>
  <c r="J14" i="28"/>
  <c r="K14" i="28" s="1"/>
  <c r="P13" i="28"/>
  <c r="Q13" i="28" s="1"/>
  <c r="J13" i="28"/>
  <c r="K13" i="28" s="1"/>
  <c r="P12" i="28"/>
  <c r="Q12" i="28" s="1"/>
  <c r="J12" i="28"/>
  <c r="K12" i="28" s="1"/>
  <c r="Q11" i="28"/>
  <c r="K11" i="28"/>
  <c r="P10" i="28"/>
  <c r="Q10" i="28" s="1"/>
  <c r="J10" i="28"/>
  <c r="K10" i="28" s="1"/>
  <c r="Q9" i="28"/>
  <c r="K9" i="28"/>
  <c r="Q8" i="28"/>
  <c r="K8" i="28"/>
  <c r="Q7" i="28"/>
  <c r="P7" i="28"/>
  <c r="J7" i="28"/>
  <c r="K7" i="28" s="1"/>
  <c r="P15" i="26"/>
  <c r="Q15" i="26" s="1"/>
  <c r="P14" i="26"/>
  <c r="Q14" i="26" s="1"/>
  <c r="P13" i="26"/>
  <c r="Q13" i="26" s="1"/>
  <c r="P12" i="26"/>
  <c r="Q12" i="26" s="1"/>
  <c r="N28" i="11"/>
  <c r="O28" i="11" s="1"/>
  <c r="J15" i="26"/>
  <c r="J14" i="26"/>
  <c r="K14" i="26" s="1"/>
  <c r="J13" i="26"/>
  <c r="J12" i="26"/>
  <c r="Q21" i="26"/>
  <c r="K21" i="26"/>
  <c r="P20" i="26"/>
  <c r="Q20" i="26" s="1"/>
  <c r="J20" i="26"/>
  <c r="P19" i="26"/>
  <c r="Q19" i="26" s="1"/>
  <c r="J19" i="26"/>
  <c r="P18" i="26"/>
  <c r="Q18" i="26" s="1"/>
  <c r="J18" i="26"/>
  <c r="P17" i="26"/>
  <c r="Q17" i="26" s="1"/>
  <c r="J17" i="26"/>
  <c r="P16" i="26"/>
  <c r="Q16" i="26" s="1"/>
  <c r="J16" i="26"/>
  <c r="Q11" i="26"/>
  <c r="K11" i="26"/>
  <c r="P10" i="26"/>
  <c r="Q10" i="26" s="1"/>
  <c r="J10" i="26"/>
  <c r="Q9" i="26"/>
  <c r="K9" i="26"/>
  <c r="Q8" i="26"/>
  <c r="K8" i="26"/>
  <c r="P7" i="26"/>
  <c r="Q7" i="26" s="1"/>
  <c r="J7" i="26"/>
  <c r="L11" i="14"/>
  <c r="P17" i="22"/>
  <c r="Q17" i="22" s="1"/>
  <c r="K28" i="11"/>
  <c r="J28" i="11"/>
  <c r="I28" i="11"/>
  <c r="I13" i="20"/>
  <c r="J13" i="20" s="1"/>
  <c r="I8" i="20"/>
  <c r="J17" i="22"/>
  <c r="K17" i="22" s="1"/>
  <c r="J9" i="11"/>
  <c r="J12" i="11"/>
  <c r="J14" i="11"/>
  <c r="J16" i="11"/>
  <c r="J9" i="10"/>
  <c r="J12" i="10"/>
  <c r="J14" i="10"/>
  <c r="J16" i="10"/>
  <c r="J26" i="10"/>
  <c r="J11" i="14"/>
  <c r="J14" i="14"/>
  <c r="J11" i="21"/>
  <c r="J12" i="21"/>
  <c r="J13" i="21"/>
  <c r="J14" i="21"/>
  <c r="O9" i="11"/>
  <c r="O12" i="11"/>
  <c r="O14" i="11"/>
  <c r="O16" i="11"/>
  <c r="O9" i="10"/>
  <c r="O12" i="10"/>
  <c r="O14" i="10"/>
  <c r="O16" i="10"/>
  <c r="O26" i="10"/>
  <c r="O8" i="14"/>
  <c r="O11" i="14"/>
  <c r="O14" i="14"/>
  <c r="O7" i="14"/>
  <c r="O11" i="21"/>
  <c r="O12" i="21"/>
  <c r="O13" i="21"/>
  <c r="O14" i="21"/>
  <c r="O11" i="19"/>
  <c r="O12" i="19"/>
  <c r="O13" i="19"/>
  <c r="J12" i="19"/>
  <c r="J13" i="19"/>
  <c r="O9" i="20"/>
  <c r="O10" i="20"/>
  <c r="O11" i="20"/>
  <c r="O14" i="20"/>
  <c r="O15" i="20"/>
  <c r="O16" i="20"/>
  <c r="J9" i="20"/>
  <c r="J10" i="20"/>
  <c r="J11" i="20"/>
  <c r="J14" i="20"/>
  <c r="J15" i="20"/>
  <c r="J16" i="20"/>
  <c r="K8" i="22"/>
  <c r="K9" i="22"/>
  <c r="K11" i="22"/>
  <c r="K18" i="22"/>
  <c r="K19" i="22"/>
  <c r="K20" i="22"/>
  <c r="Q11" i="22"/>
  <c r="Q18" i="22"/>
  <c r="Q19" i="22"/>
  <c r="Q20" i="22"/>
  <c r="Q8" i="22"/>
  <c r="Q9" i="22"/>
  <c r="L20" i="22"/>
  <c r="P19" i="22"/>
  <c r="J19" i="22"/>
  <c r="P18" i="22"/>
  <c r="J18" i="22"/>
  <c r="P16" i="22"/>
  <c r="Q16" i="22" s="1"/>
  <c r="J16" i="22"/>
  <c r="K16" i="22" s="1"/>
  <c r="P15" i="22"/>
  <c r="Q15" i="22" s="1"/>
  <c r="J15" i="22"/>
  <c r="M15" i="22" s="1"/>
  <c r="P14" i="22"/>
  <c r="Q14" i="22" s="1"/>
  <c r="J14" i="22"/>
  <c r="M14" i="22" s="1"/>
  <c r="P13" i="22"/>
  <c r="Q13" i="22" s="1"/>
  <c r="J13" i="22"/>
  <c r="M13" i="22" s="1"/>
  <c r="P12" i="22"/>
  <c r="Q12" i="22" s="1"/>
  <c r="J12" i="22"/>
  <c r="L11" i="22"/>
  <c r="P10" i="22"/>
  <c r="Q10" i="22" s="1"/>
  <c r="J10" i="22"/>
  <c r="L9" i="22"/>
  <c r="L8" i="22"/>
  <c r="P7" i="22"/>
  <c r="Q7" i="22" s="1"/>
  <c r="J7" i="22"/>
  <c r="M7" i="22" s="1"/>
  <c r="N29" i="11"/>
  <c r="O29" i="11" s="1"/>
  <c r="N27" i="1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1" i="11"/>
  <c r="O21" i="11" s="1"/>
  <c r="N20" i="11"/>
  <c r="O20" i="11" s="1"/>
  <c r="N19" i="11"/>
  <c r="O19" i="11" s="1"/>
  <c r="N18" i="11"/>
  <c r="O18" i="11" s="1"/>
  <c r="N17" i="11"/>
  <c r="O17" i="11" s="1"/>
  <c r="N15" i="11"/>
  <c r="O15" i="11" s="1"/>
  <c r="N13" i="11"/>
  <c r="O13" i="11" s="1"/>
  <c r="N11" i="11"/>
  <c r="O11" i="11" s="1"/>
  <c r="N10" i="11"/>
  <c r="O10" i="11" s="1"/>
  <c r="N8" i="11"/>
  <c r="O8" i="11" s="1"/>
  <c r="N7" i="11"/>
  <c r="O7" i="11" s="1"/>
  <c r="I29" i="11"/>
  <c r="I27" i="11"/>
  <c r="J27" i="11" s="1"/>
  <c r="I26" i="11"/>
  <c r="J26" i="11" s="1"/>
  <c r="I25" i="11"/>
  <c r="J25" i="11" s="1"/>
  <c r="I24" i="11"/>
  <c r="J24" i="11" s="1"/>
  <c r="I23" i="11"/>
  <c r="J23" i="11" s="1"/>
  <c r="I22" i="11"/>
  <c r="I21" i="11"/>
  <c r="L21" i="11" s="1"/>
  <c r="I20" i="11"/>
  <c r="L20" i="11" s="1"/>
  <c r="I19" i="11"/>
  <c r="L19" i="11" s="1"/>
  <c r="I18" i="11"/>
  <c r="L18" i="11" s="1"/>
  <c r="I17" i="11"/>
  <c r="L17" i="11" s="1"/>
  <c r="I15" i="11"/>
  <c r="J15" i="11" s="1"/>
  <c r="I13" i="11"/>
  <c r="J13" i="11" s="1"/>
  <c r="I10" i="11"/>
  <c r="J10" i="11" s="1"/>
  <c r="I8" i="11"/>
  <c r="J8" i="11" s="1"/>
  <c r="I7" i="11"/>
  <c r="J7" i="11" s="1"/>
  <c r="N25" i="10"/>
  <c r="O25" i="10" s="1"/>
  <c r="N24" i="10"/>
  <c r="O24" i="10" s="1"/>
  <c r="N23" i="10"/>
  <c r="O23" i="10" s="1"/>
  <c r="N22" i="10"/>
  <c r="O22" i="10" s="1"/>
  <c r="N21" i="10"/>
  <c r="O21" i="10" s="1"/>
  <c r="N20" i="10"/>
  <c r="O20" i="10" s="1"/>
  <c r="N19" i="10"/>
  <c r="O19" i="10" s="1"/>
  <c r="N18" i="10"/>
  <c r="O18" i="10" s="1"/>
  <c r="N17" i="10"/>
  <c r="O17" i="10" s="1"/>
  <c r="N15" i="10"/>
  <c r="O15" i="10" s="1"/>
  <c r="N13" i="10"/>
  <c r="O13" i="10" s="1"/>
  <c r="N11" i="10"/>
  <c r="O11" i="10" s="1"/>
  <c r="N10" i="10"/>
  <c r="O10" i="10" s="1"/>
  <c r="N8" i="10"/>
  <c r="O8" i="10" s="1"/>
  <c r="N7" i="10"/>
  <c r="O7" i="10" s="1"/>
  <c r="I25" i="10"/>
  <c r="J25" i="10" s="1"/>
  <c r="I24" i="10"/>
  <c r="J24" i="10" s="1"/>
  <c r="I23" i="10"/>
  <c r="J23" i="10" s="1"/>
  <c r="I22" i="10"/>
  <c r="J22" i="10" s="1"/>
  <c r="I21" i="10"/>
  <c r="J21" i="10" s="1"/>
  <c r="I20" i="10"/>
  <c r="J20" i="10" s="1"/>
  <c r="I19" i="10"/>
  <c r="J19" i="10" s="1"/>
  <c r="I18" i="10"/>
  <c r="J18" i="10" s="1"/>
  <c r="I17" i="10"/>
  <c r="J17" i="10" s="1"/>
  <c r="I15" i="10"/>
  <c r="J15" i="10" s="1"/>
  <c r="I13" i="10"/>
  <c r="J13" i="10" s="1"/>
  <c r="I10" i="10"/>
  <c r="L10" i="10" s="1"/>
  <c r="I8" i="10"/>
  <c r="J8" i="10" s="1"/>
  <c r="I7" i="10"/>
  <c r="N13" i="14"/>
  <c r="O13" i="14" s="1"/>
  <c r="N12" i="14"/>
  <c r="O12" i="14" s="1"/>
  <c r="N8" i="14"/>
  <c r="N7" i="14"/>
  <c r="I13" i="14"/>
  <c r="J13" i="14" s="1"/>
  <c r="I12" i="14"/>
  <c r="L12" i="14" s="1"/>
  <c r="N17" i="21"/>
  <c r="O17" i="21" s="1"/>
  <c r="N16" i="21"/>
  <c r="O16" i="21" s="1"/>
  <c r="N15" i="21"/>
  <c r="O15" i="21" s="1"/>
  <c r="N11" i="21"/>
  <c r="N10" i="21"/>
  <c r="O10" i="21" s="1"/>
  <c r="N9" i="21"/>
  <c r="O9" i="21" s="1"/>
  <c r="N8" i="21"/>
  <c r="O8" i="21" s="1"/>
  <c r="N7" i="21"/>
  <c r="O7" i="21" s="1"/>
  <c r="I17" i="21"/>
  <c r="J17" i="21" s="1"/>
  <c r="I16" i="21"/>
  <c r="J16" i="21" s="1"/>
  <c r="I15" i="21"/>
  <c r="J15" i="21" s="1"/>
  <c r="I10" i="21"/>
  <c r="I9" i="21"/>
  <c r="J9" i="21" s="1"/>
  <c r="I8" i="21"/>
  <c r="J8" i="21" s="1"/>
  <c r="I7" i="21"/>
  <c r="J7" i="21" s="1"/>
  <c r="N16" i="19"/>
  <c r="O16" i="19" s="1"/>
  <c r="N15" i="19"/>
  <c r="O15" i="19" s="1"/>
  <c r="N14" i="19"/>
  <c r="O14" i="19" s="1"/>
  <c r="N11" i="19"/>
  <c r="N10" i="19"/>
  <c r="O10" i="19" s="1"/>
  <c r="N9" i="19"/>
  <c r="O9" i="19" s="1"/>
  <c r="N8" i="19"/>
  <c r="O8" i="19" s="1"/>
  <c r="N7" i="19"/>
  <c r="O7" i="19" s="1"/>
  <c r="I16" i="19"/>
  <c r="J16" i="19" s="1"/>
  <c r="I15" i="19"/>
  <c r="J15" i="19" s="1"/>
  <c r="I14" i="19"/>
  <c r="I10" i="19"/>
  <c r="J10" i="19" s="1"/>
  <c r="I9" i="19"/>
  <c r="J9" i="19" s="1"/>
  <c r="I8" i="19"/>
  <c r="J8" i="19" s="1"/>
  <c r="I7" i="19"/>
  <c r="N14" i="20"/>
  <c r="N12" i="20"/>
  <c r="O12" i="20" s="1"/>
  <c r="N9" i="20"/>
  <c r="N7" i="20"/>
  <c r="O7" i="20" s="1"/>
  <c r="I12" i="20"/>
  <c r="I7" i="20"/>
  <c r="L7" i="20" s="1"/>
  <c r="N10" i="16"/>
  <c r="O10" i="16" s="1"/>
  <c r="N9" i="16"/>
  <c r="O9" i="16" s="1"/>
  <c r="N8" i="16"/>
  <c r="O8" i="16" s="1"/>
  <c r="N7" i="16"/>
  <c r="O7" i="16" s="1"/>
  <c r="I10" i="16"/>
  <c r="L10" i="16" s="1"/>
  <c r="I9" i="16"/>
  <c r="J9" i="16" s="1"/>
  <c r="I8" i="16"/>
  <c r="L8" i="16" s="1"/>
  <c r="I7" i="16"/>
  <c r="J7" i="16" s="1"/>
  <c r="K14" i="14"/>
  <c r="L31" i="11"/>
  <c r="K31" i="11"/>
  <c r="L30" i="11"/>
  <c r="K30" i="11"/>
  <c r="K16" i="11"/>
  <c r="K14" i="11"/>
  <c r="K12" i="11"/>
  <c r="K9" i="11"/>
  <c r="K26" i="10"/>
  <c r="K16" i="10"/>
  <c r="K14" i="10"/>
  <c r="K12" i="10"/>
  <c r="K9" i="10"/>
  <c r="K11" i="14"/>
  <c r="K16" i="20"/>
  <c r="K15" i="20"/>
  <c r="K11" i="20"/>
  <c r="K10" i="20"/>
  <c r="L15" i="10" l="1"/>
  <c r="L17" i="10"/>
  <c r="L13" i="11"/>
  <c r="L18" i="10"/>
  <c r="L15" i="11"/>
  <c r="L20" i="10"/>
  <c r="L10" i="11"/>
  <c r="L22" i="11"/>
  <c r="L15" i="21"/>
  <c r="L22" i="10"/>
  <c r="L7" i="21"/>
  <c r="L8" i="19"/>
  <c r="L8" i="21"/>
  <c r="L23" i="11"/>
  <c r="L9" i="19"/>
  <c r="L25" i="10"/>
  <c r="L7" i="11"/>
  <c r="L19" i="10"/>
  <c r="L26" i="11"/>
  <c r="J29" i="11"/>
  <c r="L29" i="11"/>
  <c r="J7" i="10"/>
  <c r="L7" i="10"/>
  <c r="J10" i="21"/>
  <c r="L10" i="21"/>
  <c r="J14" i="19"/>
  <c r="L14" i="19"/>
  <c r="J7" i="19"/>
  <c r="L7" i="19"/>
  <c r="J12" i="20"/>
  <c r="L12" i="20"/>
  <c r="J7" i="20"/>
  <c r="L19" i="30"/>
  <c r="K19" i="30"/>
  <c r="M18" i="30"/>
  <c r="L18" i="30"/>
  <c r="K18" i="30"/>
  <c r="L17" i="30"/>
  <c r="M17" i="30"/>
  <c r="K17" i="30"/>
  <c r="L16" i="30"/>
  <c r="K16" i="30"/>
  <c r="M15" i="30"/>
  <c r="K15" i="30"/>
  <c r="L15" i="30"/>
  <c r="M14" i="30"/>
  <c r="L14" i="30"/>
  <c r="K14" i="30"/>
  <c r="K13" i="30"/>
  <c r="M13" i="30"/>
  <c r="L13" i="30"/>
  <c r="L12" i="30"/>
  <c r="M12" i="30"/>
  <c r="K12" i="30"/>
  <c r="M10" i="30"/>
  <c r="K10" i="30"/>
  <c r="L10" i="30"/>
  <c r="M7" i="30"/>
  <c r="K7" i="30"/>
  <c r="L7" i="30"/>
  <c r="J21" i="11"/>
  <c r="J17" i="11"/>
  <c r="K10" i="26"/>
  <c r="K20" i="26"/>
  <c r="K19" i="26"/>
  <c r="K18" i="26"/>
  <c r="K17" i="26"/>
  <c r="K16" i="26"/>
  <c r="K15" i="26"/>
  <c r="K13" i="26"/>
  <c r="K12" i="26"/>
  <c r="K7" i="26"/>
  <c r="J12" i="14"/>
  <c r="K22" i="11"/>
  <c r="J22" i="11"/>
  <c r="K20" i="11"/>
  <c r="J20" i="11"/>
  <c r="K19" i="11"/>
  <c r="J19" i="11"/>
  <c r="K18" i="11"/>
  <c r="J18" i="11"/>
  <c r="J10" i="10"/>
  <c r="J10" i="16"/>
  <c r="K15" i="22"/>
  <c r="K14" i="22"/>
  <c r="K13" i="22"/>
  <c r="K10" i="22"/>
  <c r="K7" i="22"/>
  <c r="L8" i="20"/>
  <c r="J8" i="20"/>
  <c r="J8" i="16"/>
  <c r="K12" i="22"/>
  <c r="L17" i="22"/>
  <c r="L19" i="22"/>
  <c r="L18" i="22"/>
  <c r="L16" i="22"/>
  <c r="L15" i="22"/>
  <c r="L14" i="22"/>
  <c r="L13" i="22"/>
  <c r="L12" i="22"/>
  <c r="L10" i="22"/>
  <c r="L7" i="22"/>
  <c r="K13" i="20"/>
  <c r="L13" i="20"/>
  <c r="K12" i="20"/>
  <c r="K7" i="20"/>
  <c r="K21" i="10" l="1"/>
  <c r="K20" i="10"/>
  <c r="K18" i="10"/>
  <c r="K13" i="14" l="1"/>
  <c r="K12" i="14"/>
  <c r="I14" i="20" l="1"/>
  <c r="L14" i="20" s="1"/>
  <c r="K14" i="20" l="1"/>
  <c r="L9" i="16" l="1"/>
  <c r="L7" i="16"/>
  <c r="I11" i="11"/>
  <c r="I8" i="14"/>
  <c r="I7" i="14"/>
  <c r="K17" i="21"/>
  <c r="K14" i="21"/>
  <c r="K13" i="21"/>
  <c r="K12" i="21"/>
  <c r="I11" i="21"/>
  <c r="K16" i="19"/>
  <c r="K13" i="19"/>
  <c r="K12" i="19"/>
  <c r="I11" i="19"/>
  <c r="K10" i="19"/>
  <c r="K8" i="19"/>
  <c r="I9" i="20"/>
  <c r="L9" i="20" s="1"/>
  <c r="I11" i="10"/>
  <c r="J8" i="14" l="1"/>
  <c r="J7" i="14"/>
  <c r="K11" i="11"/>
  <c r="J11" i="11"/>
  <c r="K11" i="10"/>
  <c r="J11" i="10"/>
  <c r="J11" i="19"/>
  <c r="K19" i="10"/>
  <c r="K17" i="10"/>
  <c r="K29" i="11"/>
  <c r="K27" i="11"/>
  <c r="K26" i="11"/>
  <c r="K25" i="11"/>
  <c r="K24" i="11"/>
  <c r="K23" i="11"/>
  <c r="K17" i="11"/>
  <c r="K15" i="11"/>
  <c r="K13" i="11"/>
  <c r="K10" i="11"/>
  <c r="K8" i="11"/>
  <c r="K7" i="11"/>
  <c r="K25" i="10"/>
  <c r="K24" i="10"/>
  <c r="K23" i="10"/>
  <c r="K22" i="10"/>
  <c r="K15" i="10"/>
  <c r="K13" i="10"/>
  <c r="K10" i="10"/>
  <c r="K7" i="10"/>
  <c r="K8" i="14"/>
  <c r="K7" i="14"/>
  <c r="K9" i="20"/>
  <c r="K8" i="20"/>
  <c r="K9" i="16"/>
  <c r="K7" i="16"/>
  <c r="K10" i="16"/>
  <c r="K8" i="16"/>
  <c r="K8" i="10"/>
  <c r="K11" i="21"/>
  <c r="K11" i="19"/>
  <c r="K10" i="21"/>
  <c r="K9" i="19"/>
  <c r="K8" i="21"/>
  <c r="K9" i="21"/>
  <c r="K7" i="19"/>
  <c r="K7" i="21"/>
  <c r="K14" i="19"/>
  <c r="K15" i="21"/>
  <c r="K15" i="19"/>
  <c r="K16" i="21"/>
</calcChain>
</file>

<file path=xl/sharedStrings.xml><?xml version="1.0" encoding="utf-8"?>
<sst xmlns="http://schemas.openxmlformats.org/spreadsheetml/2006/main" count="1061" uniqueCount="260">
  <si>
    <t>藥液分析日報表</t>
  </si>
  <si>
    <t>線別</t>
  </si>
  <si>
    <t>日期</t>
  </si>
  <si>
    <t>分析者</t>
  </si>
  <si>
    <t>槽位</t>
  </si>
  <si>
    <t>分析項目</t>
  </si>
  <si>
    <t>規格</t>
  </si>
  <si>
    <t>範圍</t>
  </si>
  <si>
    <t>滴定數(ml)</t>
  </si>
  <si>
    <t>濃度</t>
  </si>
  <si>
    <t>判定</t>
  </si>
  <si>
    <t>調整</t>
  </si>
  <si>
    <t>藥液</t>
  </si>
  <si>
    <t>調整量</t>
  </si>
  <si>
    <t>槽容(L)</t>
  </si>
  <si>
    <t>添加管制值</t>
  </si>
  <si>
    <t>鹼洗1</t>
  </si>
  <si>
    <t>CHO ((g/L)</t>
  </si>
  <si>
    <t>45±15</t>
  </si>
  <si>
    <t>~</t>
  </si>
  <si>
    <t>BCNa ((g/L)</t>
  </si>
  <si>
    <t>40±10</t>
  </si>
  <si>
    <t>鹼洗2</t>
  </si>
  <si>
    <t>備註:</t>
  </si>
  <si>
    <t xml:space="preserve"> </t>
  </si>
  <si>
    <t>QA-2-010-02A</t>
  </si>
  <si>
    <r>
      <rPr>
        <sz val="22"/>
        <rFont val="標楷體"/>
        <family val="4"/>
        <charset val="136"/>
      </rPr>
      <t>核准</t>
    </r>
    <r>
      <rPr>
        <sz val="22"/>
        <rFont val="新細明體"/>
        <family val="1"/>
        <charset val="136"/>
      </rPr>
      <t>：</t>
    </r>
  </si>
  <si>
    <t>確認：</t>
  </si>
  <si>
    <t>表面處理</t>
  </si>
  <si>
    <t>NKH (g/L)</t>
  </si>
  <si>
    <t>20±2</t>
  </si>
  <si>
    <t>8±1</t>
  </si>
  <si>
    <t>PH</t>
  </si>
  <si>
    <t>13.3±0.5</t>
  </si>
  <si>
    <t>-</t>
  </si>
  <si>
    <t>P200 (ml/L)</t>
  </si>
  <si>
    <t>150±15</t>
  </si>
  <si>
    <t>SnCl2 (g/L)</t>
  </si>
  <si>
    <t>促進</t>
  </si>
  <si>
    <t>P500A (ml/L)</t>
  </si>
  <si>
    <t>100±10</t>
  </si>
  <si>
    <t>&lt; 0.3</t>
  </si>
  <si>
    <t>Ni (g/L)</t>
  </si>
  <si>
    <t>4.8±0.2</t>
  </si>
  <si>
    <t>18.5±1.5</t>
  </si>
  <si>
    <t>&lt; 100</t>
  </si>
  <si>
    <t>8.5±0.2</t>
  </si>
  <si>
    <t>NNH (%)</t>
  </si>
  <si>
    <t>調節</t>
  </si>
  <si>
    <t>9.5~11</t>
  </si>
  <si>
    <t>預浸</t>
  </si>
  <si>
    <t>P300 (g/L)</t>
  </si>
  <si>
    <t>260±20</t>
  </si>
  <si>
    <t>催化</t>
  </si>
  <si>
    <t>P400 (ml/L)</t>
  </si>
  <si>
    <t>&gt; 30</t>
  </si>
  <si>
    <t>15±10</t>
  </si>
  <si>
    <t>化鎳</t>
  </si>
  <si>
    <t>NaH2PO2‧H2O
(g/L)</t>
  </si>
  <si>
    <t>Na2HPO3・5H2O
(g/L)</t>
  </si>
  <si>
    <t>添加量</t>
  </si>
  <si>
    <t>銅1</t>
  </si>
  <si>
    <t>CHO (g/L)</t>
  </si>
  <si>
    <t>185±20</t>
  </si>
  <si>
    <t>CuSO4‧5H2O
(g/L)</t>
  </si>
  <si>
    <t>55±10</t>
  </si>
  <si>
    <t>氯離子(ppm)</t>
  </si>
  <si>
    <t>S RF-A (ml/L)</t>
  </si>
  <si>
    <t>15±5</t>
  </si>
  <si>
    <t>S RF-B (ml/L)</t>
  </si>
  <si>
    <t>1±0.5</t>
  </si>
  <si>
    <t>銅2</t>
  </si>
  <si>
    <t>150±20</t>
  </si>
  <si>
    <t>120±10</t>
  </si>
  <si>
    <t>槽容</t>
  </si>
  <si>
    <t>稀釋管制值</t>
  </si>
  <si>
    <t>清潔槽</t>
  </si>
  <si>
    <t>CHO (ml/L)</t>
  </si>
  <si>
    <t>20±5</t>
  </si>
  <si>
    <t>硫酸</t>
  </si>
  <si>
    <t>酸浸槽</t>
  </si>
  <si>
    <t>硫酸 (ml/L)</t>
  </si>
  <si>
    <t>6±2</t>
  </si>
  <si>
    <t>鍍銅槽</t>
  </si>
  <si>
    <t>180±20</t>
  </si>
  <si>
    <t>銅離子</t>
  </si>
  <si>
    <t>100±15</t>
  </si>
  <si>
    <t>氧化銅粉</t>
  </si>
  <si>
    <t>氯離子</t>
  </si>
  <si>
    <t>50±10</t>
  </si>
  <si>
    <t>鹽酸</t>
  </si>
  <si>
    <t>SF</t>
  </si>
  <si>
    <t>10±2</t>
  </si>
  <si>
    <t>51SF</t>
  </si>
  <si>
    <t>STB</t>
  </si>
  <si>
    <t>1±0.3</t>
  </si>
  <si>
    <t>剝掛槽</t>
  </si>
  <si>
    <t>150±50</t>
  </si>
  <si>
    <t>雙氧水</t>
  </si>
  <si>
    <t>140±20</t>
  </si>
  <si>
    <t>NA</t>
  </si>
  <si>
    <t>DP333 (ml/L)</t>
  </si>
  <si>
    <t>100±20</t>
  </si>
  <si>
    <t>DP333</t>
  </si>
  <si>
    <t>硫酸 (%)</t>
  </si>
  <si>
    <t>5±1</t>
  </si>
  <si>
    <t>200±10</t>
  </si>
  <si>
    <t>30±5</t>
  </si>
  <si>
    <t>GAP-1</t>
  </si>
  <si>
    <t>4±2</t>
  </si>
  <si>
    <t>GAP-2</t>
  </si>
  <si>
    <t>3±1</t>
  </si>
  <si>
    <t>GAP-3</t>
  </si>
  <si>
    <t>12±3</t>
  </si>
  <si>
    <t>除鈀槽</t>
  </si>
  <si>
    <t>主劑 (%)</t>
  </si>
  <si>
    <t>275±125</t>
  </si>
  <si>
    <t>SPS (g/L)</t>
  </si>
  <si>
    <t>0.55±0.25</t>
  </si>
  <si>
    <t>10±0.2</t>
  </si>
  <si>
    <t>鹼洗 (%)</t>
  </si>
  <si>
    <t>酸洗槽</t>
  </si>
  <si>
    <t>酸洗 (%)</t>
  </si>
  <si>
    <t>抗氧化</t>
  </si>
  <si>
    <t>&gt; 5</t>
  </si>
  <si>
    <t>脫脂槽
Degreasing</t>
  </si>
  <si>
    <t>CHO (%)</t>
  </si>
  <si>
    <t>銅
Copper</t>
  </si>
  <si>
    <t>銅離子 (g/L)</t>
  </si>
  <si>
    <t>&lt; 42</t>
  </si>
  <si>
    <t>比重</t>
  </si>
  <si>
    <t>1.1±0.05</t>
  </si>
  <si>
    <t>鹽酸洗
HCL</t>
  </si>
  <si>
    <t xml:space="preserve">&lt; 300 </t>
  </si>
  <si>
    <t>抗氧化
Anti-oxidation</t>
  </si>
  <si>
    <t xml:space="preserve">PH </t>
  </si>
  <si>
    <t>液洗
Liquid washing</t>
  </si>
  <si>
    <t>碳酸鈉 (%)</t>
  </si>
  <si>
    <t>1±0.2</t>
  </si>
  <si>
    <t>&gt; 10.7</t>
  </si>
  <si>
    <t>新液洗
New liquid washing</t>
  </si>
  <si>
    <t>HO (%)</t>
  </si>
  <si>
    <t>12±2</t>
  </si>
  <si>
    <t>硫酸洗
H2SO4</t>
  </si>
  <si>
    <t>酸 (%)</t>
  </si>
  <si>
    <t>22.5±12.5</t>
  </si>
  <si>
    <t>雙氧水 (%)</t>
  </si>
  <si>
    <t>6±1.5</t>
  </si>
  <si>
    <t>15±2</t>
  </si>
  <si>
    <t>4±1</t>
  </si>
  <si>
    <t>硝酸 (%)</t>
  </si>
  <si>
    <t>1.5±1</t>
  </si>
  <si>
    <t>酸洗</t>
  </si>
  <si>
    <t>0.4N HCl</t>
  </si>
  <si>
    <t>0.05N EDTA</t>
  </si>
  <si>
    <t>0.1N  KMnO4</t>
  </si>
  <si>
    <t>0.2N HCl</t>
  </si>
  <si>
    <t>剝膜 (1) 槽
Stripping Tank (1)</t>
    <phoneticPr fontId="18" type="noConversion"/>
  </si>
  <si>
    <t>剝膜 (2) 槽
Stripping Tank (2)</t>
    <phoneticPr fontId="18" type="noConversion"/>
  </si>
  <si>
    <t>剝膜 (3) 槽
Stripping Tank (3)</t>
    <phoneticPr fontId="18" type="noConversion"/>
  </si>
  <si>
    <t>硫酸洗(4)
H2SO3</t>
    <phoneticPr fontId="18" type="noConversion"/>
  </si>
  <si>
    <t>剝膜 添加桶(5)
Resist Stripping Additive Tank(5)</t>
    <phoneticPr fontId="18" type="noConversion"/>
  </si>
  <si>
    <t>剝膜 添加桶(6)
Resist Stripping Additive Tank(6)</t>
    <phoneticPr fontId="18" type="noConversion"/>
  </si>
  <si>
    <t>蝕刻主槽(銅)
Main Etching Tank</t>
    <phoneticPr fontId="18" type="noConversion"/>
  </si>
  <si>
    <t>蝕刻(3)槽(鎳)
Etching Tank (3) – Nickel</t>
    <phoneticPr fontId="18" type="noConversion"/>
  </si>
  <si>
    <t>硫酸洗
H2SO4</t>
    <phoneticPr fontId="18" type="noConversion"/>
  </si>
  <si>
    <t>蝕刻主槽
Main Etching Tank</t>
    <phoneticPr fontId="18" type="noConversion"/>
  </si>
  <si>
    <t>剝膜 (2) 槽Stripping Tank (2)</t>
    <phoneticPr fontId="18" type="noConversion"/>
  </si>
  <si>
    <t>剝膜 添加桶
Resist Stripping Additive Tank</t>
    <phoneticPr fontId="18" type="noConversion"/>
  </si>
  <si>
    <t>剝膜 小槽Resist Stripping Small Tank</t>
    <phoneticPr fontId="18" type="noConversion"/>
  </si>
  <si>
    <t>NA</t>
    <phoneticPr fontId="18" type="noConversion"/>
  </si>
  <si>
    <t>稀釋管制值</t>
    <phoneticPr fontId="18" type="noConversion"/>
  </si>
  <si>
    <t/>
  </si>
  <si>
    <t>KOH</t>
  </si>
  <si>
    <t>P400</t>
  </si>
  <si>
    <t>安定劑</t>
  </si>
  <si>
    <t>B劑</t>
  </si>
  <si>
    <t>氨水</t>
  </si>
  <si>
    <t>P200</t>
    <phoneticPr fontId="18" type="noConversion"/>
  </si>
  <si>
    <t>A劑</t>
    <phoneticPr fontId="18" type="noConversion"/>
  </si>
  <si>
    <t>UT4100-M
UT4100-RC</t>
    <phoneticPr fontId="18" type="noConversion"/>
  </si>
  <si>
    <t>硫酸50%</t>
    <phoneticPr fontId="18" type="noConversion"/>
  </si>
  <si>
    <t>GS</t>
    <phoneticPr fontId="18" type="noConversion"/>
  </si>
  <si>
    <t>SPS</t>
    <phoneticPr fontId="18" type="noConversion"/>
  </si>
  <si>
    <t>氧化銅粉</t>
    <phoneticPr fontId="18" type="noConversion"/>
  </si>
  <si>
    <t>鹽酸38%</t>
    <phoneticPr fontId="18" type="noConversion"/>
  </si>
  <si>
    <t>S RF-A</t>
    <phoneticPr fontId="18" type="noConversion"/>
  </si>
  <si>
    <t>S RF-B</t>
    <phoneticPr fontId="18" type="noConversion"/>
  </si>
  <si>
    <t>CS-3202M
CS-3202R</t>
    <phoneticPr fontId="18" type="noConversion"/>
  </si>
  <si>
    <t>HCL</t>
    <phoneticPr fontId="18" type="noConversion"/>
  </si>
  <si>
    <t>GC</t>
    <phoneticPr fontId="18" type="noConversion"/>
  </si>
  <si>
    <t>CuSO4．5H2O</t>
    <phoneticPr fontId="18" type="noConversion"/>
  </si>
  <si>
    <t>硝酸</t>
    <phoneticPr fontId="18" type="noConversion"/>
  </si>
  <si>
    <t>H2O2</t>
    <phoneticPr fontId="18" type="noConversion"/>
  </si>
  <si>
    <t>P500A</t>
    <phoneticPr fontId="18" type="noConversion"/>
  </si>
  <si>
    <t>P500B</t>
    <phoneticPr fontId="18" type="noConversion"/>
  </si>
  <si>
    <t>P300</t>
    <phoneticPr fontId="18" type="noConversion"/>
  </si>
  <si>
    <t>D劑</t>
    <phoneticPr fontId="18" type="noConversion"/>
  </si>
  <si>
    <t>OPC
PARRADELETE</t>
    <phoneticPr fontId="18" type="noConversion"/>
  </si>
  <si>
    <t>NaOH</t>
    <phoneticPr fontId="18" type="noConversion"/>
  </si>
  <si>
    <t>OPC
PARRARINSE</t>
    <phoneticPr fontId="18" type="noConversion"/>
  </si>
  <si>
    <t>CXW-PS318(A/B)</t>
    <phoneticPr fontId="18" type="noConversion"/>
  </si>
  <si>
    <t>硫酸(50%)</t>
    <phoneticPr fontId="18" type="noConversion"/>
  </si>
  <si>
    <t>鹽酸(38%)</t>
    <phoneticPr fontId="18" type="noConversion"/>
  </si>
  <si>
    <t>碳酸鈉(15%)</t>
    <phoneticPr fontId="18" type="noConversion"/>
  </si>
  <si>
    <t>鹽酸(32%)</t>
    <phoneticPr fontId="18" type="noConversion"/>
  </si>
  <si>
    <t>複驗</t>
    <phoneticPr fontId="18" type="noConversion"/>
  </si>
  <si>
    <t>調整</t>
    <phoneticPr fontId="18" type="noConversion"/>
  </si>
  <si>
    <t>1N NaOH</t>
    <phoneticPr fontId="18" type="noConversion"/>
  </si>
  <si>
    <r>
      <t>0.1N H</t>
    </r>
    <r>
      <rPr>
        <vertAlign val="subscript"/>
        <sz val="12"/>
        <rFont val="Calibri"/>
        <family val="2"/>
      </rPr>
      <t>2</t>
    </r>
    <r>
      <rPr>
        <sz val="12"/>
        <rFont val="Calibri"/>
        <family val="2"/>
      </rPr>
      <t>SO</t>
    </r>
    <r>
      <rPr>
        <vertAlign val="subscript"/>
        <sz val="12"/>
        <rFont val="Calibri"/>
        <family val="2"/>
      </rPr>
      <t>4</t>
    </r>
  </si>
  <si>
    <r>
      <t>0.1N I</t>
    </r>
    <r>
      <rPr>
        <vertAlign val="subscript"/>
        <sz val="12"/>
        <rFont val="Calibri"/>
        <family val="2"/>
      </rPr>
      <t>2</t>
    </r>
  </si>
  <si>
    <t>標準液</t>
    <phoneticPr fontId="18" type="noConversion"/>
  </si>
  <si>
    <r>
      <t>F</t>
    </r>
    <r>
      <rPr>
        <sz val="12"/>
        <rFont val="微軟正黑體"/>
        <family val="2"/>
        <charset val="136"/>
      </rPr>
      <t>值</t>
    </r>
    <phoneticPr fontId="18" type="noConversion"/>
  </si>
  <si>
    <t>CN</t>
    <phoneticPr fontId="18" type="noConversion"/>
  </si>
  <si>
    <t>N2</t>
    <phoneticPr fontId="18" type="noConversion"/>
  </si>
  <si>
    <t>C1</t>
    <phoneticPr fontId="18" type="noConversion"/>
  </si>
  <si>
    <t>C3</t>
    <phoneticPr fontId="18" type="noConversion"/>
  </si>
  <si>
    <t>C5</t>
    <phoneticPr fontId="18" type="noConversion"/>
  </si>
  <si>
    <t>DP</t>
    <phoneticPr fontId="18" type="noConversion"/>
  </si>
  <si>
    <t>舊線</t>
    <phoneticPr fontId="18" type="noConversion"/>
  </si>
  <si>
    <t>新線</t>
    <phoneticPr fontId="18" type="noConversion"/>
  </si>
  <si>
    <r>
      <t>0.1ml Na</t>
    </r>
    <r>
      <rPr>
        <vertAlign val="subscript"/>
        <sz val="12"/>
        <rFont val="Calibri"/>
        <family val="2"/>
      </rPr>
      <t>2</t>
    </r>
    <r>
      <rPr>
        <sz val="12"/>
        <rFont val="Calibri"/>
        <family val="2"/>
      </rPr>
      <t>S</t>
    </r>
    <r>
      <rPr>
        <vertAlign val="subscript"/>
        <sz val="12"/>
        <rFont val="Calibri"/>
        <family val="2"/>
      </rPr>
      <t>2</t>
    </r>
    <r>
      <rPr>
        <sz val="12"/>
        <rFont val="Calibri"/>
        <family val="2"/>
      </rPr>
      <t>O</t>
    </r>
    <r>
      <rPr>
        <vertAlign val="subscript"/>
        <sz val="12"/>
        <rFont val="Calibri"/>
        <family val="2"/>
      </rPr>
      <t>3</t>
    </r>
    <phoneticPr fontId="18" type="noConversion"/>
  </si>
  <si>
    <t>3±1</t>
    <phoneticPr fontId="18" type="noConversion"/>
  </si>
  <si>
    <t>5±1.5</t>
    <phoneticPr fontId="18" type="noConversion"/>
  </si>
  <si>
    <t>~</t>
    <phoneticPr fontId="18" type="noConversion"/>
  </si>
  <si>
    <t xml:space="preserve">&lt; 5 </t>
    <phoneticPr fontId="18" type="noConversion"/>
  </si>
  <si>
    <t>ECR-2604007</t>
    <phoneticPr fontId="18" type="noConversion"/>
  </si>
  <si>
    <t>ECR-2604004</t>
    <phoneticPr fontId="18" type="noConversion"/>
  </si>
  <si>
    <t>ECR-2603001</t>
    <phoneticPr fontId="18" type="noConversion"/>
  </si>
  <si>
    <t>工程變更</t>
  </si>
  <si>
    <t>ECR編號</t>
  </si>
  <si>
    <t>申請日期</t>
  </si>
  <si>
    <t>截止日期</t>
  </si>
  <si>
    <t>曝氣</t>
    <phoneticPr fontId="18" type="noConversion"/>
  </si>
  <si>
    <t>打氣</t>
    <phoneticPr fontId="18" type="noConversion"/>
  </si>
  <si>
    <t>-</t>
    <phoneticPr fontId="18" type="noConversion"/>
  </si>
  <si>
    <t>0.15±0.05</t>
    <phoneticPr fontId="18" type="noConversion"/>
  </si>
  <si>
    <t>Normality (N)</t>
    <phoneticPr fontId="18" type="noConversion"/>
  </si>
  <si>
    <t>0.65±0.25</t>
    <phoneticPr fontId="18" type="noConversion"/>
  </si>
  <si>
    <t>10±5</t>
    <phoneticPr fontId="18" type="noConversion"/>
  </si>
  <si>
    <t>P500A (ml/L)</t>
    <phoneticPr fontId="18" type="noConversion"/>
  </si>
  <si>
    <t>AC-RF (ml/L)</t>
    <phoneticPr fontId="18" type="noConversion"/>
  </si>
  <si>
    <t>SnCl2 (g/L)</t>
    <phoneticPr fontId="18" type="noConversion"/>
  </si>
  <si>
    <t>&gt; 20</t>
    <phoneticPr fontId="18" type="noConversion"/>
  </si>
  <si>
    <t>N1</t>
    <phoneticPr fontId="18" type="noConversion"/>
  </si>
  <si>
    <r>
      <t xml:space="preserve">粗化線
</t>
    </r>
    <r>
      <rPr>
        <sz val="26"/>
        <rFont val="標楷體"/>
        <family val="4"/>
        <charset val="136"/>
      </rPr>
      <t>(PT2)</t>
    </r>
    <phoneticPr fontId="18" type="noConversion"/>
  </si>
  <si>
    <r>
      <t xml:space="preserve">顯影線
</t>
    </r>
    <r>
      <rPr>
        <sz val="26"/>
        <rFont val="標楷體"/>
        <family val="4"/>
        <charset val="136"/>
      </rPr>
      <t>(DV2)</t>
    </r>
    <phoneticPr fontId="18" type="noConversion"/>
  </si>
  <si>
    <r>
      <t xml:space="preserve">剝膜線
</t>
    </r>
    <r>
      <rPr>
        <sz val="26"/>
        <rFont val="標楷體"/>
        <family val="4"/>
        <charset val="136"/>
      </rPr>
      <t>(ST2)</t>
    </r>
    <phoneticPr fontId="18" type="noConversion"/>
  </si>
  <si>
    <r>
      <t xml:space="preserve">快蝕線
</t>
    </r>
    <r>
      <rPr>
        <sz val="26"/>
        <rFont val="標楷體"/>
        <family val="4"/>
        <charset val="136"/>
      </rPr>
      <t>(QE2)</t>
    </r>
    <phoneticPr fontId="18" type="noConversion"/>
  </si>
  <si>
    <r>
      <t xml:space="preserve">粗化線
</t>
    </r>
    <r>
      <rPr>
        <sz val="26"/>
        <rFont val="標楷體"/>
        <family val="4"/>
        <charset val="136"/>
      </rPr>
      <t>(PT)</t>
    </r>
    <phoneticPr fontId="18" type="noConversion"/>
  </si>
  <si>
    <r>
      <t xml:space="preserve">顯影線
</t>
    </r>
    <r>
      <rPr>
        <sz val="26"/>
        <rFont val="標楷體"/>
        <family val="4"/>
        <charset val="136"/>
      </rPr>
      <t>(DV)</t>
    </r>
    <phoneticPr fontId="18" type="noConversion"/>
  </si>
  <si>
    <r>
      <t xml:space="preserve">剝膜線
</t>
    </r>
    <r>
      <rPr>
        <sz val="26"/>
        <rFont val="標楷體"/>
        <family val="4"/>
        <charset val="136"/>
      </rPr>
      <t>(ST)</t>
    </r>
    <phoneticPr fontId="18" type="noConversion"/>
  </si>
  <si>
    <r>
      <t xml:space="preserve">快蝕線
</t>
    </r>
    <r>
      <rPr>
        <sz val="26"/>
        <rFont val="標楷體"/>
        <family val="4"/>
        <charset val="136"/>
      </rPr>
      <t>(QE)</t>
    </r>
    <phoneticPr fontId="18" type="noConversion"/>
  </si>
  <si>
    <r>
      <t xml:space="preserve">除鈀線
</t>
    </r>
    <r>
      <rPr>
        <sz val="26"/>
        <rFont val="標楷體"/>
        <family val="4"/>
        <charset val="136"/>
      </rPr>
      <t>(DP)</t>
    </r>
    <phoneticPr fontId="18" type="noConversion"/>
  </si>
  <si>
    <r>
      <t xml:space="preserve">鍍銅線
</t>
    </r>
    <r>
      <rPr>
        <sz val="26"/>
        <rFont val="標楷體"/>
        <family val="4"/>
        <charset val="136"/>
      </rPr>
      <t>(C3)</t>
    </r>
    <phoneticPr fontId="18" type="noConversion"/>
  </si>
  <si>
    <r>
      <t xml:space="preserve">鍍銅線
</t>
    </r>
    <r>
      <rPr>
        <sz val="26"/>
        <rFont val="標楷體"/>
        <family val="4"/>
        <charset val="136"/>
      </rPr>
      <t>(C5)</t>
    </r>
    <phoneticPr fontId="18" type="noConversion"/>
  </si>
  <si>
    <r>
      <t xml:space="preserve">鍍銅線
</t>
    </r>
    <r>
      <rPr>
        <sz val="26"/>
        <rFont val="標楷體"/>
        <family val="4"/>
        <charset val="136"/>
      </rPr>
      <t>(C1)</t>
    </r>
    <phoneticPr fontId="18" type="noConversion"/>
  </si>
  <si>
    <r>
      <t xml:space="preserve">化鎳線
</t>
    </r>
    <r>
      <rPr>
        <sz val="26"/>
        <rFont val="標楷體"/>
        <family val="4"/>
        <charset val="136"/>
      </rPr>
      <t>(N2)</t>
    </r>
    <phoneticPr fontId="18" type="noConversion"/>
  </si>
  <si>
    <r>
      <t xml:space="preserve">化鎳線
</t>
    </r>
    <r>
      <rPr>
        <sz val="26"/>
        <rFont val="標楷體"/>
        <family val="4"/>
        <charset val="136"/>
      </rPr>
      <t>(N1)</t>
    </r>
    <phoneticPr fontId="18" type="noConversion"/>
  </si>
  <si>
    <r>
      <t xml:space="preserve">清洗線
</t>
    </r>
    <r>
      <rPr>
        <sz val="26"/>
        <rFont val="標楷體"/>
        <family val="4"/>
        <charset val="136"/>
      </rPr>
      <t>(CN)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</si>
</sst>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76" formatCode="0.0"/>
    <numFmt numFmtId="177" formatCode="0.00_ "/>
    <numFmt numFmtId="178" formatCode="0_);[Red]\(0\)"/>
  </numFmts>
  <fonts count="30">
    <font>
      <sz val="12"/>
      <name val="新細明體"/>
      <charset val="136"/>
    </font>
    <font>
      <sz val="14"/>
      <name val="標楷體"/>
      <family val="4"/>
      <charset val="136"/>
    </font>
    <font>
      <sz val="22"/>
      <name val="標楷體"/>
      <family val="4"/>
      <charset val="136"/>
    </font>
    <font>
      <sz val="36"/>
      <name val="標楷體"/>
      <family val="4"/>
      <charset val="136"/>
    </font>
    <font>
      <sz val="28"/>
      <name val="標楷體"/>
      <family val="4"/>
      <charset val="136"/>
    </font>
    <font>
      <sz val="22"/>
      <color theme="1"/>
      <name val="標楷體"/>
      <family val="4"/>
      <charset val="136"/>
    </font>
    <font>
      <sz val="22"/>
      <name val="微軟正黑體"/>
      <family val="2"/>
      <charset val="136"/>
    </font>
    <font>
      <b/>
      <sz val="22"/>
      <name val="標楷體"/>
      <family val="4"/>
      <charset val="136"/>
    </font>
    <font>
      <sz val="20"/>
      <color theme="1"/>
      <name val="標楷體"/>
      <family val="4"/>
      <charset val="136"/>
    </font>
    <font>
      <sz val="22"/>
      <color theme="0"/>
      <name val="標楷體"/>
      <family val="4"/>
      <charset val="136"/>
    </font>
    <font>
      <sz val="18"/>
      <name val="標楷體"/>
      <family val="4"/>
      <charset val="136"/>
    </font>
    <font>
      <sz val="18"/>
      <color rgb="FF0000FF"/>
      <name val="標楷體"/>
      <family val="4"/>
      <charset val="136"/>
    </font>
    <font>
      <sz val="14"/>
      <color rgb="FF0000FF"/>
      <name val="標楷體"/>
      <family val="4"/>
      <charset val="136"/>
    </font>
    <font>
      <sz val="20"/>
      <name val="標楷體"/>
      <family val="4"/>
      <charset val="136"/>
    </font>
    <font>
      <sz val="2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2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22"/>
      <name val="標楷體"/>
      <family val="4"/>
      <charset val="136"/>
    </font>
    <font>
      <sz val="22"/>
      <color theme="1"/>
      <name val="標楷體"/>
      <family val="4"/>
      <charset val="136"/>
    </font>
    <font>
      <sz val="22"/>
      <color theme="0"/>
      <name val="標楷體"/>
      <family val="4"/>
      <charset val="136"/>
    </font>
    <font>
      <sz val="12"/>
      <name val="微軟正黑體"/>
      <family val="2"/>
      <charset val="136"/>
    </font>
    <font>
      <sz val="14"/>
      <name val="Calibri"/>
      <family val="2"/>
    </font>
    <font>
      <sz val="12"/>
      <name val="Calibri"/>
      <family val="2"/>
    </font>
    <font>
      <vertAlign val="subscript"/>
      <sz val="12"/>
      <name val="Calibri"/>
      <family val="2"/>
    </font>
    <font>
      <b/>
      <sz val="12"/>
      <name val="Calibri"/>
      <family val="2"/>
    </font>
    <font>
      <sz val="12"/>
      <name val="Microsoft JhengHei"/>
      <family val="2"/>
    </font>
    <font>
      <sz val="26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</cellStyleXfs>
  <cellXfs count="300">
    <xf numFmtId="0" fontId="0" fillId="0" borderId="0" xfId="0">
      <alignment vertical="center"/>
    </xf>
    <xf numFmtId="0" fontId="5" fillId="0" borderId="5" xfId="4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2" fontId="7" fillId="0" borderId="3" xfId="0" applyNumberFormat="1" applyFont="1" applyBorder="1" applyAlignment="1" applyProtection="1">
      <alignment horizontal="center" vertical="center"/>
      <protection locked="0"/>
    </xf>
    <xf numFmtId="2" fontId="7" fillId="0" borderId="1" xfId="0" applyNumberFormat="1" applyFont="1" applyBorder="1" applyAlignment="1" applyProtection="1">
      <alignment horizontal="center" vertical="center"/>
      <protection locked="0"/>
    </xf>
    <xf numFmtId="2" fontId="7" fillId="0" borderId="7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1" xfId="0" applyNumberFormat="1" applyFont="1" applyBorder="1" applyAlignment="1" applyProtection="1">
      <alignment horizontal="center" vertical="center"/>
      <protection locked="0"/>
    </xf>
    <xf numFmtId="176" fontId="2" fillId="0" borderId="6" xfId="0" applyNumberFormat="1" applyFont="1" applyBorder="1" applyAlignment="1" applyProtection="1">
      <alignment horizontal="center" vertical="center"/>
      <protection locked="0"/>
    </xf>
    <xf numFmtId="176" fontId="2" fillId="0" borderId="8" xfId="0" applyNumberFormat="1" applyFont="1" applyBorder="1" applyAlignment="1" applyProtection="1">
      <alignment horizontal="center" vertical="center"/>
      <protection locked="0"/>
    </xf>
    <xf numFmtId="176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0" borderId="3" xfId="1" applyNumberFormat="1" applyFont="1" applyFill="1" applyBorder="1" applyAlignment="1" applyProtection="1">
      <alignment horizontal="center" vertical="center"/>
    </xf>
    <xf numFmtId="0" fontId="2" fillId="0" borderId="5" xfId="1" applyNumberFormat="1" applyFont="1" applyFill="1" applyBorder="1" applyAlignment="1" applyProtection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4" applyFont="1" applyAlignment="1">
      <alignment horizontal="center" vertical="center"/>
    </xf>
    <xf numFmtId="0" fontId="2" fillId="0" borderId="0" xfId="4" applyFont="1">
      <alignment vertical="center"/>
    </xf>
    <xf numFmtId="0" fontId="10" fillId="0" borderId="0" xfId="4" applyFont="1" applyAlignment="1">
      <alignment horizontal="center" vertical="center"/>
    </xf>
    <xf numFmtId="0" fontId="1" fillId="0" borderId="0" xfId="4" applyFont="1" applyAlignment="1">
      <alignment horizontal="center" vertical="center"/>
    </xf>
    <xf numFmtId="0" fontId="1" fillId="0" borderId="0" xfId="4" applyFont="1">
      <alignment vertical="center"/>
    </xf>
    <xf numFmtId="0" fontId="11" fillId="0" borderId="0" xfId="4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13" fillId="0" borderId="1" xfId="4" applyFont="1" applyBorder="1" applyAlignment="1">
      <alignment horizontal="center" vertical="center" wrapText="1"/>
    </xf>
    <xf numFmtId="0" fontId="13" fillId="0" borderId="1" xfId="4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176" fontId="2" fillId="0" borderId="1" xfId="4" applyNumberFormat="1" applyFont="1" applyBorder="1" applyAlignment="1" applyProtection="1">
      <alignment horizontal="center" vertical="center"/>
      <protection locked="0"/>
    </xf>
    <xf numFmtId="2" fontId="7" fillId="0" borderId="3" xfId="4" applyNumberFormat="1" applyFont="1" applyBorder="1" applyAlignment="1">
      <alignment horizontal="center" vertical="center"/>
    </xf>
    <xf numFmtId="14" fontId="5" fillId="0" borderId="1" xfId="4" applyNumberFormat="1" applyFont="1" applyBorder="1" applyAlignment="1">
      <alignment horizontal="center" vertical="center"/>
    </xf>
    <xf numFmtId="178" fontId="5" fillId="0" borderId="1" xfId="4" applyNumberFormat="1" applyFont="1" applyBorder="1" applyAlignment="1">
      <alignment horizontal="center" vertical="center"/>
    </xf>
    <xf numFmtId="0" fontId="13" fillId="0" borderId="7" xfId="4" applyFont="1" applyBorder="1" applyAlignment="1">
      <alignment horizontal="center" vertical="center" wrapText="1"/>
    </xf>
    <xf numFmtId="0" fontId="13" fillId="0" borderId="11" xfId="4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2" fontId="7" fillId="0" borderId="1" xfId="4" applyNumberFormat="1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/>
    </xf>
    <xf numFmtId="0" fontId="2" fillId="0" borderId="12" xfId="4" applyFont="1" applyBorder="1" applyAlignment="1">
      <alignment horizontal="center" vertical="center"/>
    </xf>
    <xf numFmtId="0" fontId="6" fillId="0" borderId="14" xfId="4" applyFont="1" applyBorder="1" applyAlignment="1">
      <alignment horizontal="center" vertical="center"/>
    </xf>
    <xf numFmtId="0" fontId="5" fillId="0" borderId="13" xfId="4" applyFont="1" applyBorder="1" applyAlignment="1">
      <alignment horizontal="center" vertical="center"/>
    </xf>
    <xf numFmtId="2" fontId="7" fillId="0" borderId="1" xfId="4" applyNumberFormat="1" applyFont="1" applyBorder="1" applyAlignment="1" applyProtection="1">
      <alignment horizontal="center" vertical="center"/>
      <protection locked="0"/>
    </xf>
    <xf numFmtId="2" fontId="7" fillId="0" borderId="8" xfId="4" applyNumberFormat="1" applyFont="1" applyBorder="1" applyAlignment="1" applyProtection="1">
      <alignment horizontal="center" vertical="center"/>
      <protection locked="0"/>
    </xf>
    <xf numFmtId="2" fontId="7" fillId="0" borderId="6" xfId="4" applyNumberFormat="1" applyFont="1" applyBorder="1" applyAlignment="1" applyProtection="1">
      <alignment horizontal="center" vertical="center"/>
      <protection locked="0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176" fontId="2" fillId="0" borderId="8" xfId="4" applyNumberFormat="1" applyFont="1" applyBorder="1" applyAlignment="1" applyProtection="1">
      <alignment horizontal="center" vertical="center"/>
      <protection locked="0"/>
    </xf>
    <xf numFmtId="0" fontId="9" fillId="0" borderId="11" xfId="4" applyFont="1" applyBorder="1" applyAlignment="1">
      <alignment horizontal="center" vertical="center"/>
    </xf>
    <xf numFmtId="0" fontId="2" fillId="0" borderId="9" xfId="4" applyFont="1" applyBorder="1">
      <alignment vertical="center"/>
    </xf>
    <xf numFmtId="0" fontId="2" fillId="0" borderId="14" xfId="4" applyFont="1" applyBorder="1">
      <alignment vertical="center"/>
    </xf>
    <xf numFmtId="0" fontId="2" fillId="0" borderId="10" xfId="4" applyFont="1" applyBorder="1">
      <alignment vertical="center"/>
    </xf>
    <xf numFmtId="0" fontId="2" fillId="0" borderId="12" xfId="4" applyFont="1" applyBorder="1">
      <alignment vertical="center"/>
    </xf>
    <xf numFmtId="0" fontId="2" fillId="0" borderId="13" xfId="4" applyFont="1" applyBorder="1">
      <alignment vertical="center"/>
    </xf>
    <xf numFmtId="0" fontId="2" fillId="0" borderId="0" xfId="4" applyFont="1" applyAlignment="1">
      <alignment horizontal="left" vertical="center"/>
    </xf>
    <xf numFmtId="0" fontId="2" fillId="0" borderId="0" xfId="4" applyFont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7" fillId="0" borderId="6" xfId="0" applyNumberFormat="1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5" fillId="0" borderId="3" xfId="1" applyNumberFormat="1" applyFont="1" applyFill="1" applyBorder="1" applyAlignment="1" applyProtection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176" fontId="20" fillId="0" borderId="1" xfId="0" applyNumberFormat="1" applyFont="1" applyBorder="1" applyAlignment="1" applyProtection="1">
      <alignment horizontal="center" vertical="center"/>
      <protection locked="0"/>
    </xf>
    <xf numFmtId="176" fontId="20" fillId="2" borderId="1" xfId="0" applyNumberFormat="1" applyFont="1" applyFill="1" applyBorder="1" applyAlignment="1">
      <alignment horizontal="center" vertical="center"/>
    </xf>
    <xf numFmtId="176" fontId="20" fillId="0" borderId="11" xfId="0" applyNumberFormat="1" applyFont="1" applyBorder="1" applyAlignment="1" applyProtection="1">
      <alignment horizontal="center" vertical="center"/>
      <protection locked="0"/>
    </xf>
    <xf numFmtId="176" fontId="20" fillId="0" borderId="6" xfId="0" applyNumberFormat="1" applyFont="1" applyBorder="1" applyAlignment="1" applyProtection="1">
      <alignment horizontal="center" vertical="center"/>
      <protection locked="0"/>
    </xf>
    <xf numFmtId="176" fontId="20" fillId="0" borderId="8" xfId="0" applyNumberFormat="1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9" fillId="0" borderId="3" xfId="1" applyNumberFormat="1" applyFont="1" applyFill="1" applyBorder="1" applyAlignment="1" applyProtection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1" fillId="0" borderId="1" xfId="3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3" borderId="6" xfId="0" applyNumberFormat="1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9" fillId="0" borderId="0" xfId="0" applyFont="1" applyAlignment="1">
      <alignment vertical="center" wrapText="1"/>
    </xf>
    <xf numFmtId="176" fontId="2" fillId="2" borderId="6" xfId="0" applyNumberFormat="1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" fontId="5" fillId="0" borderId="1" xfId="2" applyNumberFormat="1" applyFont="1" applyBorder="1" applyAlignment="1">
      <alignment horizontal="center" vertical="center"/>
    </xf>
    <xf numFmtId="0" fontId="22" fillId="0" borderId="3" xfId="1" applyNumberFormat="1" applyFont="1" applyFill="1" applyBorder="1" applyAlignment="1" applyProtection="1">
      <alignment horizontal="center" vertical="center"/>
    </xf>
    <xf numFmtId="2" fontId="7" fillId="0" borderId="5" xfId="1" applyNumberFormat="1" applyFont="1" applyFill="1" applyBorder="1" applyAlignment="1" applyProtection="1">
      <alignment horizontal="center" vertical="center"/>
    </xf>
    <xf numFmtId="0" fontId="20" fillId="0" borderId="8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0" borderId="5" xfId="1" applyNumberFormat="1" applyFont="1" applyFill="1" applyBorder="1" applyAlignment="1" applyProtection="1">
      <alignment horizontal="center" vertical="center"/>
      <protection locked="0"/>
    </xf>
    <xf numFmtId="2" fontId="7" fillId="0" borderId="5" xfId="0" applyNumberFormat="1" applyFont="1" applyBorder="1" applyAlignment="1" applyProtection="1">
      <alignment horizontal="center" vertical="center"/>
      <protection locked="0"/>
    </xf>
    <xf numFmtId="0" fontId="22" fillId="0" borderId="5" xfId="1" applyNumberFormat="1" applyFont="1" applyFill="1" applyBorder="1" applyAlignment="1" applyProtection="1">
      <alignment horizontal="center" vertical="center"/>
    </xf>
    <xf numFmtId="0" fontId="9" fillId="0" borderId="9" xfId="0" applyFont="1" applyBorder="1" applyAlignment="1">
      <alignment horizontal="center" vertical="center"/>
    </xf>
    <xf numFmtId="9" fontId="5" fillId="0" borderId="1" xfId="5" applyFont="1" applyFill="1" applyBorder="1" applyAlignment="1" applyProtection="1">
      <alignment horizontal="center" vertical="center"/>
    </xf>
    <xf numFmtId="0" fontId="20" fillId="0" borderId="6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5" fillId="0" borderId="3" xfId="4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3" xfId="3" applyFont="1" applyBorder="1" applyAlignment="1">
      <alignment horizontal="center" vertical="center"/>
    </xf>
    <xf numFmtId="0" fontId="21" fillId="0" borderId="3" xfId="2" applyFont="1" applyBorder="1" applyAlignment="1">
      <alignment horizontal="center" vertical="center"/>
    </xf>
    <xf numFmtId="1" fontId="21" fillId="0" borderId="3" xfId="2" applyNumberFormat="1" applyFont="1" applyBorder="1" applyAlignment="1">
      <alignment horizontal="center" vertical="center"/>
    </xf>
    <xf numFmtId="176" fontId="21" fillId="0" borderId="3" xfId="0" applyNumberFormat="1" applyFont="1" applyBorder="1" applyAlignment="1">
      <alignment horizontal="center" vertical="center"/>
    </xf>
    <xf numFmtId="177" fontId="5" fillId="0" borderId="1" xfId="3" applyNumberFormat="1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 wrapText="1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>
      <alignment horizontal="center" vertical="center" wrapText="1"/>
    </xf>
    <xf numFmtId="2" fontId="20" fillId="0" borderId="1" xfId="0" applyNumberFormat="1" applyFont="1" applyBorder="1" applyAlignment="1" applyProtection="1">
      <alignment horizontal="center" vertical="center"/>
      <protection locked="0"/>
    </xf>
    <xf numFmtId="0" fontId="2" fillId="4" borderId="0" xfId="0" applyFont="1" applyFill="1" applyAlignment="1">
      <alignment horizontal="centerContinuous" vertical="center"/>
    </xf>
    <xf numFmtId="0" fontId="1" fillId="4" borderId="0" xfId="0" applyFont="1" applyFill="1" applyAlignment="1">
      <alignment horizontal="centerContinuous" vertical="center"/>
    </xf>
    <xf numFmtId="176" fontId="5" fillId="0" borderId="1" xfId="3" applyNumberFormat="1" applyFont="1" applyBorder="1" applyAlignment="1">
      <alignment horizontal="center" vertical="center" wrapText="1"/>
    </xf>
    <xf numFmtId="2" fontId="5" fillId="0" borderId="1" xfId="3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20" fillId="0" borderId="5" xfId="0" applyFont="1" applyBorder="1" applyAlignment="1" applyProtection="1">
      <alignment horizontal="center" vertical="center"/>
      <protection locked="0"/>
    </xf>
    <xf numFmtId="0" fontId="20" fillId="0" borderId="5" xfId="1" applyNumberFormat="1" applyFont="1" applyFill="1" applyBorder="1" applyAlignment="1" applyProtection="1">
      <alignment horizontal="center" vertical="center"/>
      <protection locked="0"/>
    </xf>
    <xf numFmtId="2" fontId="5" fillId="0" borderId="1" xfId="4" applyNumberFormat="1" applyFont="1" applyBorder="1" applyAlignment="1" applyProtection="1">
      <alignment horizontal="center" vertical="center"/>
      <protection locked="0"/>
    </xf>
    <xf numFmtId="176" fontId="2" fillId="2" borderId="1" xfId="0" applyNumberFormat="1" applyFont="1" applyFill="1" applyBorder="1" applyAlignment="1" applyProtection="1">
      <alignment horizontal="center" vertical="center"/>
      <protection locked="0"/>
    </xf>
    <xf numFmtId="2" fontId="5" fillId="0" borderId="1" xfId="4" applyNumberFormat="1" applyFont="1" applyBorder="1" applyAlignment="1">
      <alignment horizontal="center" vertical="center" wrapText="1"/>
    </xf>
    <xf numFmtId="2" fontId="8" fillId="0" borderId="1" xfId="4" applyNumberFormat="1" applyFont="1" applyBorder="1" applyAlignment="1">
      <alignment horizontal="center" vertical="center" wrapText="1"/>
    </xf>
    <xf numFmtId="0" fontId="24" fillId="0" borderId="0" xfId="0" applyFont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7" fillId="0" borderId="0" xfId="0" applyFont="1" applyProtection="1">
      <alignment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25" fillId="0" borderId="16" xfId="0" applyFont="1" applyBorder="1">
      <alignment vertical="center"/>
    </xf>
    <xf numFmtId="0" fontId="25" fillId="0" borderId="3" xfId="0" applyFont="1" applyBorder="1">
      <alignment vertical="center"/>
    </xf>
    <xf numFmtId="0" fontId="25" fillId="0" borderId="17" xfId="0" applyFont="1" applyBorder="1">
      <alignment vertical="center"/>
    </xf>
    <xf numFmtId="0" fontId="25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6" fontId="20" fillId="0" borderId="18" xfId="0" applyNumberFormat="1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176" fontId="5" fillId="0" borderId="18" xfId="3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8" xfId="1" applyNumberFormat="1" applyFont="1" applyFill="1" applyBorder="1" applyAlignment="1" applyProtection="1">
      <alignment horizontal="center" vertical="center"/>
    </xf>
    <xf numFmtId="2" fontId="7" fillId="0" borderId="18" xfId="0" applyNumberFormat="1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5" fillId="0" borderId="5" xfId="1" applyNumberFormat="1" applyFont="1" applyFill="1" applyBorder="1" applyAlignment="1" applyProtection="1">
      <alignment horizontal="center" vertical="center"/>
    </xf>
    <xf numFmtId="0" fontId="9" fillId="0" borderId="5" xfId="1" applyNumberFormat="1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5" fillId="0" borderId="18" xfId="4" applyFont="1" applyBorder="1" applyAlignment="1">
      <alignment horizontal="center" vertical="center"/>
    </xf>
    <xf numFmtId="2" fontId="5" fillId="0" borderId="18" xfId="4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0" fontId="2" fillId="0" borderId="3" xfId="4" applyFont="1" applyBorder="1" applyAlignment="1">
      <alignment horizontal="center" vertical="center" wrapText="1"/>
    </xf>
    <xf numFmtId="0" fontId="2" fillId="0" borderId="4" xfId="4" applyFont="1" applyBorder="1" applyAlignment="1">
      <alignment horizontal="center" vertical="center" wrapText="1"/>
    </xf>
    <xf numFmtId="0" fontId="2" fillId="0" borderId="5" xfId="4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0" fontId="20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0" fillId="0" borderId="7" xfId="0" applyFont="1" applyBorder="1" applyAlignment="1" applyProtection="1">
      <alignment horizontal="center" vertical="center" wrapText="1"/>
      <protection locked="0"/>
    </xf>
    <xf numFmtId="0" fontId="20" fillId="0" borderId="8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1" fillId="0" borderId="1" xfId="2" applyFont="1" applyBorder="1" applyAlignment="1">
      <alignment horizontal="center" vertical="center"/>
    </xf>
    <xf numFmtId="14" fontId="2" fillId="0" borderId="3" xfId="0" applyNumberFormat="1" applyFont="1" applyBorder="1" applyAlignment="1" applyProtection="1">
      <alignment horizontal="left" vertical="top"/>
      <protection locked="0"/>
    </xf>
    <xf numFmtId="14" fontId="2" fillId="0" borderId="4" xfId="0" applyNumberFormat="1" applyFont="1" applyBorder="1" applyAlignment="1" applyProtection="1">
      <alignment horizontal="left" vertical="top"/>
      <protection locked="0"/>
    </xf>
    <xf numFmtId="14" fontId="2" fillId="0" borderId="5" xfId="0" applyNumberFormat="1" applyFont="1" applyBorder="1" applyAlignment="1" applyProtection="1">
      <alignment horizontal="left" vertical="top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2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0" fillId="0" borderId="3" xfId="1" applyNumberFormat="1" applyFont="1" applyFill="1" applyBorder="1" applyAlignment="1" applyProtection="1">
      <alignment horizontal="center" vertical="center"/>
    </xf>
    <xf numFmtId="0" fontId="20" fillId="0" borderId="5" xfId="1" applyNumberFormat="1" applyFont="1" applyFill="1" applyBorder="1" applyAlignment="1" applyProtection="1">
      <alignment horizontal="center" vertical="center"/>
    </xf>
    <xf numFmtId="0" fontId="20" fillId="0" borderId="3" xfId="1" applyNumberFormat="1" applyFont="1" applyFill="1" applyBorder="1" applyAlignment="1" applyProtection="1">
      <alignment horizontal="center" vertical="center"/>
      <protection locked="0"/>
    </xf>
    <xf numFmtId="0" fontId="20" fillId="0" borderId="5" xfId="1" applyNumberFormat="1" applyFont="1" applyFill="1" applyBorder="1" applyAlignment="1" applyProtection="1">
      <alignment horizontal="center" vertical="center"/>
      <protection locked="0"/>
    </xf>
    <xf numFmtId="176" fontId="20" fillId="2" borderId="3" xfId="0" applyNumberFormat="1" applyFont="1" applyFill="1" applyBorder="1" applyAlignment="1">
      <alignment horizontal="center" vertical="center"/>
    </xf>
    <xf numFmtId="176" fontId="20" fillId="2" borderId="5" xfId="0" applyNumberFormat="1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14" fontId="2" fillId="0" borderId="1" xfId="0" applyNumberFormat="1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0" fillId="0" borderId="3" xfId="0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 applyProtection="1">
      <alignment horizontal="left" vertical="center"/>
      <protection locked="0"/>
    </xf>
    <xf numFmtId="14" fontId="2" fillId="0" borderId="4" xfId="0" applyNumberFormat="1" applyFont="1" applyBorder="1" applyAlignment="1" applyProtection="1">
      <alignment horizontal="left" vertical="center"/>
      <protection locked="0"/>
    </xf>
    <xf numFmtId="14" fontId="2" fillId="0" borderId="5" xfId="0" applyNumberFormat="1" applyFont="1" applyBorder="1" applyAlignment="1" applyProtection="1">
      <alignment horizontal="left" vertical="center"/>
      <protection locked="0"/>
    </xf>
    <xf numFmtId="0" fontId="13" fillId="0" borderId="9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2" fillId="0" borderId="0" xfId="4" applyFont="1" applyAlignment="1">
      <alignment horizontal="center" vertical="center"/>
    </xf>
    <xf numFmtId="0" fontId="3" fillId="0" borderId="2" xfId="4" applyFont="1" applyBorder="1" applyAlignment="1">
      <alignment horizontal="center"/>
    </xf>
    <xf numFmtId="0" fontId="2" fillId="0" borderId="3" xfId="4" applyFont="1" applyBorder="1" applyAlignment="1" applyProtection="1">
      <alignment horizontal="left" vertical="center"/>
      <protection locked="0"/>
    </xf>
    <xf numFmtId="0" fontId="2" fillId="0" borderId="4" xfId="4" applyFont="1" applyBorder="1" applyAlignment="1" applyProtection="1">
      <alignment horizontal="left" vertical="center"/>
      <protection locked="0"/>
    </xf>
    <xf numFmtId="0" fontId="2" fillId="0" borderId="5" xfId="4" applyFont="1" applyBorder="1" applyAlignment="1" applyProtection="1">
      <alignment horizontal="left" vertical="center"/>
      <protection locked="0"/>
    </xf>
    <xf numFmtId="14" fontId="2" fillId="0" borderId="3" xfId="4" applyNumberFormat="1" applyFont="1" applyBorder="1" applyAlignment="1" applyProtection="1">
      <alignment horizontal="left" vertical="center"/>
      <protection locked="0"/>
    </xf>
    <xf numFmtId="14" fontId="2" fillId="0" borderId="4" xfId="4" applyNumberFormat="1" applyFont="1" applyBorder="1" applyAlignment="1" applyProtection="1">
      <alignment horizontal="left" vertical="center"/>
      <protection locked="0"/>
    </xf>
    <xf numFmtId="14" fontId="2" fillId="0" borderId="5" xfId="4" applyNumberFormat="1" applyFont="1" applyBorder="1" applyAlignment="1" applyProtection="1">
      <alignment horizontal="left" vertical="center"/>
      <protection locked="0"/>
    </xf>
    <xf numFmtId="0" fontId="3" fillId="0" borderId="6" xfId="4" applyFont="1" applyBorder="1" applyAlignment="1">
      <alignment horizontal="center" vertical="center" wrapText="1"/>
    </xf>
    <xf numFmtId="0" fontId="3" fillId="0" borderId="7" xfId="4" applyFont="1" applyBorder="1" applyAlignment="1">
      <alignment horizontal="center" vertical="center" wrapText="1"/>
    </xf>
    <xf numFmtId="0" fontId="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 wrapText="1"/>
    </xf>
    <xf numFmtId="0" fontId="13" fillId="0" borderId="12" xfId="4" applyFont="1" applyBorder="1" applyAlignment="1">
      <alignment horizontal="center" vertical="center" wrapText="1"/>
    </xf>
    <xf numFmtId="0" fontId="13" fillId="0" borderId="11" xfId="4" applyFont="1" applyBorder="1" applyAlignment="1">
      <alignment horizontal="center" vertical="center" wrapText="1"/>
    </xf>
    <xf numFmtId="0" fontId="13" fillId="0" borderId="6" xfId="4" applyFont="1" applyBorder="1" applyAlignment="1">
      <alignment horizontal="center" vertical="center" wrapText="1"/>
    </xf>
    <xf numFmtId="0" fontId="13" fillId="0" borderId="7" xfId="4" applyFont="1" applyBorder="1" applyAlignment="1">
      <alignment horizontal="center" vertical="center" wrapText="1"/>
    </xf>
    <xf numFmtId="0" fontId="13" fillId="0" borderId="8" xfId="4" applyFont="1" applyBorder="1" applyAlignment="1">
      <alignment horizontal="center" vertical="center" wrapText="1"/>
    </xf>
    <xf numFmtId="0" fontId="2" fillId="0" borderId="12" xfId="4" applyFont="1" applyBorder="1" applyAlignment="1">
      <alignment horizontal="left" vertical="top" wrapText="1"/>
    </xf>
    <xf numFmtId="0" fontId="2" fillId="0" borderId="0" xfId="4" applyFont="1" applyAlignment="1">
      <alignment horizontal="left" vertical="top" wrapText="1"/>
    </xf>
    <xf numFmtId="0" fontId="2" fillId="0" borderId="13" xfId="4" applyFont="1" applyBorder="1" applyAlignment="1">
      <alignment horizontal="left" vertical="top" wrapText="1"/>
    </xf>
    <xf numFmtId="0" fontId="2" fillId="0" borderId="11" xfId="4" applyFont="1" applyBorder="1" applyAlignment="1">
      <alignment horizontal="left" vertical="top" wrapText="1"/>
    </xf>
    <xf numFmtId="0" fontId="2" fillId="0" borderId="2" xfId="4" applyFont="1" applyBorder="1" applyAlignment="1">
      <alignment horizontal="left" vertical="top" wrapText="1"/>
    </xf>
    <xf numFmtId="0" fontId="2" fillId="0" borderId="15" xfId="4" applyFont="1" applyBorder="1" applyAlignment="1">
      <alignment horizontal="left" vertical="top" wrapText="1"/>
    </xf>
    <xf numFmtId="0" fontId="2" fillId="0" borderId="18" xfId="0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</cellXfs>
  <cellStyles count="7">
    <cellStyle name="一般" xfId="0" builtinId="0"/>
    <cellStyle name="一般 13" xfId="2" xr:uid="{00000000-0005-0000-0000-000031000000}"/>
    <cellStyle name="一般 2 2" xfId="3" xr:uid="{00000000-0005-0000-0000-000032000000}"/>
    <cellStyle name="一般 7" xfId="4" xr:uid="{00000000-0005-0000-0000-000033000000}"/>
    <cellStyle name="百分比" xfId="1" builtinId="5"/>
    <cellStyle name="百分比 3" xfId="5" xr:uid="{00000000-0005-0000-0000-000034000000}"/>
    <cellStyle name="貨幣 2" xfId="6" xr:uid="{00000000-0005-0000-0000-000035000000}"/>
  </cellStyles>
  <dxfs count="48"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/>
      </fill>
    </dxf>
    <dxf>
      <font>
        <b/>
        <i val="0"/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FFFFCC"/>
      <color rgb="FF00FFFF"/>
      <color rgb="FF0000FF"/>
      <color rgb="FFFFCCFF"/>
      <color rgb="FFFF99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1411605</xdr:colOff>
      <xdr:row>1</xdr:row>
      <xdr:rowOff>71755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8870" cy="424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1411605</xdr:colOff>
      <xdr:row>1</xdr:row>
      <xdr:rowOff>71755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66717FB-11D3-4362-8C3F-242D49C2A7F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7455" cy="4241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1411605</xdr:colOff>
      <xdr:row>1</xdr:row>
      <xdr:rowOff>71755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BAA9B4E-864D-40A7-A2C9-6882F64D029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7455" cy="4241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1411605</xdr:colOff>
      <xdr:row>1</xdr:row>
      <xdr:rowOff>71755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76AA938-6AE8-4386-8044-3BB5C28A821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7455" cy="4241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1411605</xdr:colOff>
      <xdr:row>1</xdr:row>
      <xdr:rowOff>71755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0C785CE-62FB-46AA-A2B2-A38D3A01FFD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7455" cy="4241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1412550</xdr:colOff>
      <xdr:row>1</xdr:row>
      <xdr:rowOff>72375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9505" cy="4241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1412550</xdr:colOff>
      <xdr:row>1</xdr:row>
      <xdr:rowOff>72375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9505" cy="4241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1412550</xdr:colOff>
      <xdr:row>1</xdr:row>
      <xdr:rowOff>72375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9505" cy="4267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1411605</xdr:colOff>
      <xdr:row>1</xdr:row>
      <xdr:rowOff>71755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8870" cy="4241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1412550</xdr:colOff>
      <xdr:row>1</xdr:row>
      <xdr:rowOff>72375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9505" cy="4241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1412550</xdr:colOff>
      <xdr:row>1</xdr:row>
      <xdr:rowOff>72375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89505" cy="424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S17"/>
  <sheetViews>
    <sheetView showGridLines="0" zoomScale="40" zoomScaleNormal="40" workbookViewId="0">
      <selection activeCell="H10" sqref="H10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21.625" style="14" customWidth="1"/>
    <col min="10" max="10" width="21.625" style="15" customWidth="1"/>
    <col min="11" max="11" width="21.625" style="16" customWidth="1"/>
    <col min="12" max="12" width="50.625" style="16" customWidth="1"/>
    <col min="13" max="15" width="21.625" style="16" customWidth="1"/>
    <col min="16" max="16" width="30.625" style="16" customWidth="1"/>
    <col min="17" max="19" width="21.625" style="17" customWidth="1"/>
    <col min="20" max="22" width="30.625" style="17" customWidth="1"/>
    <col min="23" max="16384" width="9" style="17"/>
  </cols>
  <sheetData>
    <row r="1" spans="1:19" ht="27.75" customHeight="1">
      <c r="A1" s="200"/>
      <c r="B1" s="200"/>
      <c r="C1" s="200"/>
      <c r="D1" s="200"/>
      <c r="E1" s="200"/>
      <c r="F1" s="200"/>
      <c r="G1" s="200"/>
      <c r="H1" s="200"/>
      <c r="I1" s="200"/>
    </row>
    <row r="2" spans="1:19" ht="50.25">
      <c r="A2" s="201" t="s">
        <v>0</v>
      </c>
      <c r="B2" s="201"/>
      <c r="C2" s="201"/>
      <c r="D2" s="201"/>
      <c r="E2" s="201"/>
      <c r="F2" s="201"/>
      <c r="G2" s="201"/>
      <c r="H2" s="201"/>
      <c r="I2" s="201"/>
      <c r="J2" s="201"/>
    </row>
    <row r="3" spans="1:19" ht="35.1" customHeight="1">
      <c r="A3" s="18" t="s">
        <v>1</v>
      </c>
      <c r="B3" s="202" t="s">
        <v>213</v>
      </c>
      <c r="C3" s="203"/>
      <c r="D3" s="203"/>
      <c r="E3" s="203"/>
      <c r="F3" s="203"/>
      <c r="G3" s="203"/>
      <c r="H3" s="203"/>
      <c r="I3" s="203"/>
      <c r="J3" s="204"/>
    </row>
    <row r="4" spans="1:19" ht="35.1" customHeight="1">
      <c r="A4" s="18" t="s">
        <v>2</v>
      </c>
      <c r="B4" s="202"/>
      <c r="C4" s="203"/>
      <c r="D4" s="203"/>
      <c r="E4" s="203"/>
      <c r="F4" s="203"/>
      <c r="G4" s="203"/>
      <c r="H4" s="203"/>
      <c r="I4" s="203"/>
      <c r="J4" s="204"/>
    </row>
    <row r="5" spans="1:19" ht="35.1" customHeight="1">
      <c r="A5" s="18" t="s">
        <v>3</v>
      </c>
      <c r="B5" s="202"/>
      <c r="C5" s="203"/>
      <c r="D5" s="203"/>
      <c r="E5" s="203"/>
      <c r="F5" s="203"/>
      <c r="G5" s="203"/>
      <c r="H5" s="203"/>
      <c r="I5" s="203"/>
      <c r="J5" s="204"/>
      <c r="K5" s="19"/>
      <c r="L5" s="15"/>
      <c r="M5" s="163" t="s">
        <v>206</v>
      </c>
      <c r="N5" s="163"/>
      <c r="O5" s="163"/>
      <c r="P5" s="15"/>
    </row>
    <row r="6" spans="1:19" ht="35.1" customHeight="1">
      <c r="A6" s="46" t="s">
        <v>1</v>
      </c>
      <c r="B6" s="46" t="s">
        <v>4</v>
      </c>
      <c r="C6" s="47" t="s">
        <v>5</v>
      </c>
      <c r="D6" s="47" t="s">
        <v>6</v>
      </c>
      <c r="E6" s="205" t="s">
        <v>7</v>
      </c>
      <c r="F6" s="206"/>
      <c r="G6" s="207"/>
      <c r="H6" s="47" t="s">
        <v>8</v>
      </c>
      <c r="I6" s="48" t="s">
        <v>9</v>
      </c>
      <c r="J6" s="47" t="s">
        <v>10</v>
      </c>
      <c r="K6" s="1" t="s">
        <v>11</v>
      </c>
      <c r="L6" s="2" t="s">
        <v>13</v>
      </c>
      <c r="M6" s="47" t="s">
        <v>8</v>
      </c>
      <c r="N6" s="47" t="s">
        <v>9</v>
      </c>
      <c r="O6" s="47" t="s">
        <v>10</v>
      </c>
      <c r="P6" s="2" t="s">
        <v>12</v>
      </c>
      <c r="Q6" s="2" t="s">
        <v>14</v>
      </c>
      <c r="R6" s="2" t="s">
        <v>15</v>
      </c>
      <c r="S6" s="2" t="s">
        <v>171</v>
      </c>
    </row>
    <row r="7" spans="1:19" ht="60" customHeight="1">
      <c r="A7" s="208" t="s">
        <v>259</v>
      </c>
      <c r="B7" s="215" t="s">
        <v>16</v>
      </c>
      <c r="C7" s="18" t="s">
        <v>17</v>
      </c>
      <c r="D7" s="18" t="s">
        <v>18</v>
      </c>
      <c r="E7" s="23">
        <v>30</v>
      </c>
      <c r="F7" s="24" t="s">
        <v>19</v>
      </c>
      <c r="G7" s="25">
        <v>60</v>
      </c>
      <c r="H7" s="9"/>
      <c r="I7" s="3" t="str">
        <f>IF(H7="","",24.5*H7*F值!$B$3)</f>
        <v/>
      </c>
      <c r="J7" s="18" t="str">
        <f>IF(I7="","",IF(OR(I7&lt;E7,I7&gt;G7),"NG","OK"))</f>
        <v/>
      </c>
      <c r="K7" s="2" t="str">
        <f>IF(I7="","",IF(I7&lt;R7,"添加",IF(I7&gt;S7,"更槽","")))</f>
        <v/>
      </c>
      <c r="L7" s="172" t="str">
        <f>IF(I7&lt;R7,"硫酸(50%)："&amp;ROUND(((R7-I7)*Q7/1000),1)&amp;" L","")</f>
        <v/>
      </c>
      <c r="M7" s="170"/>
      <c r="N7" s="89" t="str">
        <f>IF(M7="","",24.5*M7*F值!$B$3)</f>
        <v/>
      </c>
      <c r="O7" s="18" t="str">
        <f>IF(N7="","",IF(OR(N7&lt;E7,N7&gt;G7),"NG","OK"))</f>
        <v/>
      </c>
      <c r="P7" s="2" t="s">
        <v>202</v>
      </c>
      <c r="Q7" s="2">
        <v>1000</v>
      </c>
      <c r="R7" s="2">
        <v>45</v>
      </c>
      <c r="S7" s="18">
        <v>60</v>
      </c>
    </row>
    <row r="8" spans="1:19" ht="60" customHeight="1">
      <c r="A8" s="209"/>
      <c r="B8" s="217"/>
      <c r="C8" s="26" t="s">
        <v>20</v>
      </c>
      <c r="D8" s="27" t="s">
        <v>21</v>
      </c>
      <c r="E8" s="28">
        <v>30</v>
      </c>
      <c r="F8" s="24" t="s">
        <v>19</v>
      </c>
      <c r="G8" s="29">
        <v>50</v>
      </c>
      <c r="H8" s="9"/>
      <c r="I8" s="3" t="str">
        <f>IF(H8="","",(11.905*H8*F值!$B$10)/2)</f>
        <v/>
      </c>
      <c r="J8" s="18" t="str">
        <f t="shared" ref="J8:J10" si="0">IF(I8="","",IF(OR(I8&lt;E8,I8&gt;G8),"NG","OK"))</f>
        <v/>
      </c>
      <c r="K8" s="2" t="str">
        <f>IF(I8="","",IF(I8&lt;R8,"添加",IF(I8&gt;S8,"稀釋","")))</f>
        <v/>
      </c>
      <c r="L8" s="172" t="str">
        <f>IFERROR(IF(I8&lt;R8,"SPS："&amp;ROUND(((R8-I8)*Q8/1000),1)&amp;" L",IF(I8&gt;S8,"排藥："&amp;ROUND((I8-S8)/I8*Q8,1)&amp;" L"&amp;"
補水："&amp;ROUND((I8-S8)/I8*Q8,1)&amp;" L","")),"")</f>
        <v/>
      </c>
      <c r="M8" s="170"/>
      <c r="N8" s="89" t="str">
        <f>IF(M8="","",(11.905*M8*F值!$B$10)/2)</f>
        <v/>
      </c>
      <c r="O8" s="18" t="str">
        <f t="shared" ref="O8:O10" si="1">IF(N8="","",IF(OR(N8&lt;E8,N8&gt;G8),"NG","OK"))</f>
        <v/>
      </c>
      <c r="P8" s="2" t="s">
        <v>183</v>
      </c>
      <c r="Q8" s="2">
        <v>1000</v>
      </c>
      <c r="R8" s="2">
        <v>40</v>
      </c>
      <c r="S8" s="18">
        <v>50</v>
      </c>
    </row>
    <row r="9" spans="1:19" ht="60" customHeight="1">
      <c r="A9" s="209"/>
      <c r="B9" s="215" t="s">
        <v>22</v>
      </c>
      <c r="C9" s="18" t="s">
        <v>17</v>
      </c>
      <c r="D9" s="18" t="s">
        <v>18</v>
      </c>
      <c r="E9" s="23">
        <v>30</v>
      </c>
      <c r="F9" s="24" t="s">
        <v>19</v>
      </c>
      <c r="G9" s="25">
        <v>60</v>
      </c>
      <c r="H9" s="9"/>
      <c r="I9" s="3" t="str">
        <f>IF(H9="","",24.5*H9*F值!$B$3)</f>
        <v/>
      </c>
      <c r="J9" s="18" t="str">
        <f t="shared" si="0"/>
        <v/>
      </c>
      <c r="K9" s="2" t="str">
        <f t="shared" ref="K9:K10" si="2">IF(I9="","",IF(I9&lt;R9,"添加",IF(I9&gt;S9,"稀釋","")))</f>
        <v/>
      </c>
      <c r="L9" s="172" t="str">
        <f>IF(I9&lt;R9,"硫酸(50%)："&amp;ROUND(((R9-I9)*Q9/1000),1)&amp;" L","")</f>
        <v/>
      </c>
      <c r="M9" s="170"/>
      <c r="N9" s="89" t="str">
        <f>IF(M9="","",24.5*M9*F值!$B$3)</f>
        <v/>
      </c>
      <c r="O9" s="18" t="str">
        <f t="shared" si="1"/>
        <v/>
      </c>
      <c r="P9" s="2" t="s">
        <v>202</v>
      </c>
      <c r="Q9" s="2">
        <v>1000</v>
      </c>
      <c r="R9" s="2">
        <v>45</v>
      </c>
      <c r="S9" s="18">
        <v>60</v>
      </c>
    </row>
    <row r="10" spans="1:19" ht="60" customHeight="1">
      <c r="A10" s="209"/>
      <c r="B10" s="217"/>
      <c r="C10" s="26" t="s">
        <v>20</v>
      </c>
      <c r="D10" s="27" t="s">
        <v>21</v>
      </c>
      <c r="E10" s="23">
        <v>30</v>
      </c>
      <c r="F10" s="24" t="s">
        <v>19</v>
      </c>
      <c r="G10" s="25">
        <v>50</v>
      </c>
      <c r="H10" s="9"/>
      <c r="I10" s="3" t="str">
        <f>IF(H10="","",(11.905*H10*F值!$B$10)/2)</f>
        <v/>
      </c>
      <c r="J10" s="18" t="str">
        <f t="shared" si="0"/>
        <v/>
      </c>
      <c r="K10" s="2" t="str">
        <f t="shared" si="2"/>
        <v/>
      </c>
      <c r="L10" s="172" t="str">
        <f>IFERROR(IF(I10&lt;R10,"SPS："&amp;ROUND(((R10-I10)*Q10/1000),1)&amp;" L",IF(I10&gt;S10,"排藥："&amp;ROUND((I10-S10)/I10*Q10,1)&amp;" L"&amp;"
補水："&amp;ROUND((I10-S10)/I10*Q10,1)&amp;" L","")),"")</f>
        <v/>
      </c>
      <c r="M10" s="170"/>
      <c r="N10" s="89" t="str">
        <f>IF(M10="","",(11.905*M10*F值!$B$10)/2)</f>
        <v/>
      </c>
      <c r="O10" s="18" t="str">
        <f t="shared" si="1"/>
        <v/>
      </c>
      <c r="P10" s="2" t="s">
        <v>183</v>
      </c>
      <c r="Q10" s="2">
        <v>1000</v>
      </c>
      <c r="R10" s="2">
        <v>40</v>
      </c>
      <c r="S10" s="22">
        <v>50</v>
      </c>
    </row>
    <row r="11" spans="1:19" ht="18" customHeight="1">
      <c r="A11" s="33" t="s">
        <v>23</v>
      </c>
      <c r="B11" s="34"/>
      <c r="C11" s="34"/>
      <c r="D11" s="34"/>
      <c r="E11" s="34"/>
      <c r="F11" s="34"/>
      <c r="G11" s="34"/>
      <c r="H11" s="34"/>
      <c r="I11" s="34" t="s">
        <v>24</v>
      </c>
      <c r="J11" s="35"/>
    </row>
    <row r="12" spans="1:19" ht="18" customHeight="1">
      <c r="A12" s="19"/>
      <c r="B12" s="15"/>
      <c r="D12" s="15"/>
      <c r="E12" s="15"/>
      <c r="F12" s="15"/>
      <c r="G12" s="15"/>
      <c r="H12" s="15"/>
      <c r="I12" s="15"/>
      <c r="J12" s="36"/>
    </row>
    <row r="13" spans="1:19" ht="18" customHeight="1">
      <c r="A13" s="238"/>
      <c r="B13" s="239"/>
      <c r="C13" s="240"/>
      <c r="D13" s="240"/>
      <c r="E13" s="240"/>
      <c r="F13" s="240"/>
      <c r="G13" s="240"/>
      <c r="H13" s="240"/>
      <c r="I13" s="240"/>
      <c r="J13" s="241"/>
    </row>
    <row r="14" spans="1:19" s="16" customFormat="1" ht="18" customHeight="1">
      <c r="A14" s="242"/>
      <c r="B14" s="243"/>
      <c r="C14" s="243"/>
      <c r="D14" s="243"/>
      <c r="E14" s="243"/>
      <c r="F14" s="243"/>
      <c r="G14" s="243"/>
      <c r="H14" s="243"/>
      <c r="I14" s="243"/>
      <c r="J14" s="244"/>
    </row>
    <row r="15" spans="1:19" s="16" customFormat="1" ht="18" customHeight="1">
      <c r="A15" s="37" t="s">
        <v>25</v>
      </c>
      <c r="B15" s="14"/>
      <c r="C15" s="38" t="s">
        <v>26</v>
      </c>
      <c r="D15" s="14"/>
      <c r="E15" s="14"/>
      <c r="F15" s="14"/>
      <c r="G15" s="14"/>
      <c r="H15" s="38" t="s">
        <v>27</v>
      </c>
      <c r="I15" s="14"/>
      <c r="J15" s="15"/>
    </row>
    <row r="16" spans="1:19" s="16" customFormat="1" ht="18" customHeight="1">
      <c r="A16" s="14"/>
      <c r="B16" s="14"/>
      <c r="C16" s="15"/>
      <c r="D16" s="14"/>
      <c r="E16" s="14"/>
      <c r="F16" s="14"/>
      <c r="G16" s="14"/>
      <c r="H16" s="14"/>
      <c r="I16" s="14"/>
      <c r="J16" s="15"/>
    </row>
    <row r="17" spans="1:10" s="16" customFormat="1" ht="18" customHeight="1">
      <c r="A17" s="14"/>
      <c r="B17" s="14"/>
      <c r="C17" s="15"/>
      <c r="D17" s="14"/>
      <c r="E17" s="14"/>
      <c r="F17" s="14"/>
      <c r="G17" s="14"/>
      <c r="H17" s="14"/>
      <c r="I17" s="14"/>
      <c r="J17" s="15"/>
    </row>
  </sheetData>
  <sheetProtection algorithmName="SHA-512" hashValue="g4v+2VAfktMapTxJ0wH4xf41PG3/PvqkeaTNebqy0paRpN+LFrZumKdh1xZD9wCiulZi2jAXNj7CRSHEgMfVeg==" saltValue="5/3n9VXiWms7ELsxdeTAwA==" spinCount="100000" sheet="1" objects="1" scenarios="1"/>
  <mergeCells count="10">
    <mergeCell ref="E6:G6"/>
    <mergeCell ref="A7:A10"/>
    <mergeCell ref="B7:B8"/>
    <mergeCell ref="B9:B10"/>
    <mergeCell ref="A13:J14"/>
    <mergeCell ref="A1:I1"/>
    <mergeCell ref="A2:J2"/>
    <mergeCell ref="B3:J3"/>
    <mergeCell ref="B4:J4"/>
    <mergeCell ref="B5:J5"/>
  </mergeCells>
  <phoneticPr fontId="18" type="noConversion"/>
  <conditionalFormatting sqref="J7:J10">
    <cfRule type="containsText" dxfId="47" priority="3" operator="containsText" text="NG">
      <formula>NOT(ISERROR(SEARCH("NG",J7)))</formula>
    </cfRule>
  </conditionalFormatting>
  <conditionalFormatting sqref="O7:O10">
    <cfRule type="containsText" dxfId="46" priority="1" operator="containsText" text="NG">
      <formula>NOT(ISERROR(SEARCH("NG",O7)))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31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416B-A276-4EDC-8B71-E9BA85CBFF62}">
  <sheetPr>
    <tabColor rgb="FF002060"/>
    <pageSetUpPr fitToPage="1"/>
  </sheetPr>
  <dimension ref="A1:X28"/>
  <sheetViews>
    <sheetView showGridLines="0" zoomScale="40" zoomScaleNormal="40" workbookViewId="0">
      <selection sqref="A1:K1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11.125" style="14" customWidth="1"/>
    <col min="10" max="11" width="21.625" style="14" customWidth="1"/>
    <col min="12" max="12" width="21.625" style="103" customWidth="1"/>
    <col min="13" max="13" width="50.625" style="103" customWidth="1"/>
    <col min="14" max="15" width="11.125" style="103" customWidth="1"/>
    <col min="16" max="17" width="21.625" style="103" customWidth="1"/>
    <col min="18" max="18" width="30.625" style="103" customWidth="1"/>
    <col min="19" max="20" width="21.625" style="103" customWidth="1"/>
    <col min="21" max="21" width="21.625" style="17" customWidth="1"/>
    <col min="22" max="22" width="30.625" style="15" customWidth="1"/>
    <col min="23" max="24" width="30.625" style="17" customWidth="1"/>
    <col min="25" max="16384" width="9" style="17"/>
  </cols>
  <sheetData>
    <row r="1" spans="1:24" ht="27.75" customHeight="1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24" ht="50.25">
      <c r="A2" s="201" t="s">
        <v>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4" ht="35.1" customHeight="1">
      <c r="A3" s="18" t="s">
        <v>1</v>
      </c>
      <c r="B3" s="251" t="s">
        <v>244</v>
      </c>
      <c r="C3" s="251"/>
      <c r="D3" s="251"/>
      <c r="E3" s="251"/>
      <c r="F3" s="251"/>
      <c r="G3" s="251"/>
      <c r="H3" s="251"/>
      <c r="I3" s="251"/>
      <c r="J3" s="251"/>
      <c r="K3" s="251"/>
    </row>
    <row r="4" spans="1:24" ht="35.1" customHeight="1">
      <c r="A4" s="18" t="s">
        <v>2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</row>
    <row r="5" spans="1:24" ht="35.1" customHeight="1">
      <c r="A5" s="18" t="s">
        <v>3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17"/>
      <c r="M5" s="17"/>
      <c r="N5" s="163" t="s">
        <v>206</v>
      </c>
      <c r="O5" s="164"/>
      <c r="P5" s="164"/>
      <c r="Q5" s="164"/>
      <c r="R5" s="17"/>
      <c r="S5" s="17"/>
      <c r="T5" s="17"/>
    </row>
    <row r="6" spans="1:24" ht="35.1" customHeight="1">
      <c r="A6" s="18" t="s">
        <v>1</v>
      </c>
      <c r="B6" s="18" t="s">
        <v>4</v>
      </c>
      <c r="C6" s="20" t="s">
        <v>5</v>
      </c>
      <c r="D6" s="20" t="s">
        <v>6</v>
      </c>
      <c r="E6" s="255" t="s">
        <v>7</v>
      </c>
      <c r="F6" s="255"/>
      <c r="G6" s="255"/>
      <c r="H6" s="253" t="s">
        <v>8</v>
      </c>
      <c r="I6" s="254"/>
      <c r="J6" s="20" t="s">
        <v>9</v>
      </c>
      <c r="K6" s="20" t="s">
        <v>10</v>
      </c>
      <c r="L6" s="1" t="s">
        <v>11</v>
      </c>
      <c r="M6" s="2" t="s">
        <v>13</v>
      </c>
      <c r="N6" s="253" t="s">
        <v>8</v>
      </c>
      <c r="O6" s="254"/>
      <c r="P6" s="20" t="s">
        <v>9</v>
      </c>
      <c r="Q6" s="47" t="s">
        <v>10</v>
      </c>
      <c r="R6" s="2" t="s">
        <v>12</v>
      </c>
      <c r="S6" s="2" t="s">
        <v>14</v>
      </c>
      <c r="T6" s="2" t="s">
        <v>15</v>
      </c>
      <c r="U6" s="150" t="s">
        <v>171</v>
      </c>
    </row>
    <row r="7" spans="1:24" ht="60" customHeight="1">
      <c r="A7" s="208" t="s">
        <v>258</v>
      </c>
      <c r="B7" s="255" t="s">
        <v>28</v>
      </c>
      <c r="C7" s="18" t="s">
        <v>29</v>
      </c>
      <c r="D7" s="18" t="s">
        <v>30</v>
      </c>
      <c r="E7" s="23">
        <v>18</v>
      </c>
      <c r="F7" s="24" t="s">
        <v>19</v>
      </c>
      <c r="G7" s="25">
        <v>22</v>
      </c>
      <c r="H7" s="256"/>
      <c r="I7" s="257"/>
      <c r="J7" s="142" t="str">
        <f>IF(H7="","",(1.12*H7*F值!$B$4)*2)</f>
        <v/>
      </c>
      <c r="K7" s="25" t="str">
        <f>IF(J7="","",IF(OR(J7&lt;E7,J7&gt;G7),"NG","OK"))</f>
        <v/>
      </c>
      <c r="L7" s="2"/>
      <c r="M7" s="172"/>
      <c r="N7" s="256"/>
      <c r="O7" s="257"/>
      <c r="P7" s="142" t="str">
        <f>IF(N7="","",(1.12*N7*F值!$B$4)*2)</f>
        <v/>
      </c>
      <c r="Q7" s="18" t="str">
        <f>IF(P7="","",IF(OR(P7&lt;E7,P7&gt;G7),"NG","OK"))</f>
        <v/>
      </c>
      <c r="R7" s="4"/>
      <c r="S7" s="2"/>
      <c r="T7" s="2"/>
      <c r="U7" s="18"/>
    </row>
    <row r="8" spans="1:24" ht="60" customHeight="1">
      <c r="A8" s="209"/>
      <c r="B8" s="255"/>
      <c r="C8" s="26" t="s">
        <v>47</v>
      </c>
      <c r="D8" s="27" t="s">
        <v>31</v>
      </c>
      <c r="E8" s="28">
        <v>7</v>
      </c>
      <c r="F8" s="24" t="s">
        <v>19</v>
      </c>
      <c r="G8" s="29">
        <v>9</v>
      </c>
      <c r="H8" s="249" t="s">
        <v>34</v>
      </c>
      <c r="I8" s="250"/>
      <c r="J8" s="143"/>
      <c r="K8" s="25" t="str">
        <f t="shared" ref="K8:K21" si="0">IF(J8="","",IF(OR(J8&lt;E8,J8&gt;G8),"NG","OK"))</f>
        <v/>
      </c>
      <c r="L8" s="22"/>
      <c r="M8" s="172"/>
      <c r="N8" s="249" t="s">
        <v>34</v>
      </c>
      <c r="O8" s="250"/>
      <c r="P8" s="143"/>
      <c r="Q8" s="18" t="str">
        <f t="shared" ref="Q8:Q21" si="1">IF(P8="","",IF(OR(P8&lt;E8,P8&gt;G8),"NG","OK"))</f>
        <v/>
      </c>
      <c r="R8" s="2"/>
      <c r="S8" s="2"/>
      <c r="T8" s="2"/>
      <c r="U8" s="18"/>
    </row>
    <row r="9" spans="1:24" ht="60" customHeight="1">
      <c r="A9" s="209"/>
      <c r="B9" s="255"/>
      <c r="C9" s="18" t="s">
        <v>32</v>
      </c>
      <c r="D9" s="27" t="s">
        <v>33</v>
      </c>
      <c r="E9" s="28">
        <v>12.8</v>
      </c>
      <c r="F9" s="24" t="s">
        <v>19</v>
      </c>
      <c r="G9" s="29">
        <v>13.8</v>
      </c>
      <c r="H9" s="249" t="s">
        <v>34</v>
      </c>
      <c r="I9" s="250"/>
      <c r="J9" s="143"/>
      <c r="K9" s="25" t="str">
        <f t="shared" si="0"/>
        <v/>
      </c>
      <c r="L9" s="22"/>
      <c r="M9" s="172"/>
      <c r="N9" s="249" t="s">
        <v>34</v>
      </c>
      <c r="O9" s="250"/>
      <c r="P9" s="143"/>
      <c r="Q9" s="18" t="str">
        <f t="shared" si="1"/>
        <v/>
      </c>
      <c r="R9" s="2"/>
      <c r="S9" s="2"/>
      <c r="T9" s="2"/>
      <c r="U9" s="18"/>
    </row>
    <row r="10" spans="1:24" ht="60" customHeight="1">
      <c r="A10" s="209"/>
      <c r="B10" s="255" t="s">
        <v>48</v>
      </c>
      <c r="C10" s="26" t="s">
        <v>35</v>
      </c>
      <c r="D10" s="27" t="s">
        <v>36</v>
      </c>
      <c r="E10" s="28">
        <v>135</v>
      </c>
      <c r="F10" s="24" t="s">
        <v>19</v>
      </c>
      <c r="G10" s="29">
        <v>165</v>
      </c>
      <c r="H10" s="247"/>
      <c r="I10" s="248"/>
      <c r="J10" s="138" t="str">
        <f>IF(H10="","",(11.94*H10*F值!$B$8))</f>
        <v/>
      </c>
      <c r="K10" s="25" t="str">
        <f t="shared" si="0"/>
        <v/>
      </c>
      <c r="L10" s="2"/>
      <c r="M10" s="172"/>
      <c r="N10" s="247"/>
      <c r="O10" s="248"/>
      <c r="P10" s="138" t="str">
        <f>IF(N10="","",(11.94*N10*F值!$B$8))</f>
        <v/>
      </c>
      <c r="Q10" s="18" t="str">
        <f t="shared" si="1"/>
        <v/>
      </c>
      <c r="R10" s="4"/>
      <c r="S10" s="2"/>
      <c r="T10" s="2"/>
      <c r="U10" s="18"/>
    </row>
    <row r="11" spans="1:24" ht="60" customHeight="1">
      <c r="A11" s="209"/>
      <c r="B11" s="255"/>
      <c r="C11" s="18" t="s">
        <v>32</v>
      </c>
      <c r="D11" s="27" t="s">
        <v>49</v>
      </c>
      <c r="E11" s="28">
        <v>9.5</v>
      </c>
      <c r="F11" s="24" t="s">
        <v>19</v>
      </c>
      <c r="G11" s="29">
        <v>11</v>
      </c>
      <c r="H11" s="249" t="s">
        <v>34</v>
      </c>
      <c r="I11" s="250"/>
      <c r="J11" s="143"/>
      <c r="K11" s="25" t="str">
        <f t="shared" si="0"/>
        <v/>
      </c>
      <c r="L11" s="22"/>
      <c r="M11" s="172"/>
      <c r="N11" s="249" t="s">
        <v>34</v>
      </c>
      <c r="O11" s="250"/>
      <c r="P11" s="143"/>
      <c r="Q11" s="18" t="str">
        <f t="shared" si="1"/>
        <v/>
      </c>
      <c r="R11" s="2"/>
      <c r="S11" s="2"/>
      <c r="T11" s="2"/>
      <c r="U11" s="18"/>
    </row>
    <row r="12" spans="1:24" ht="60" customHeight="1">
      <c r="A12" s="209"/>
      <c r="B12" s="197" t="s">
        <v>50</v>
      </c>
      <c r="C12" s="26" t="s">
        <v>237</v>
      </c>
      <c r="D12" s="27" t="s">
        <v>236</v>
      </c>
      <c r="E12" s="28">
        <v>0.1</v>
      </c>
      <c r="F12" s="24" t="s">
        <v>19</v>
      </c>
      <c r="G12" s="29">
        <v>0.2</v>
      </c>
      <c r="H12" s="247"/>
      <c r="I12" s="248"/>
      <c r="J12" s="138" t="str">
        <f>IF(H12="","",H12/5)</f>
        <v/>
      </c>
      <c r="K12" s="25" t="str">
        <f t="shared" si="0"/>
        <v/>
      </c>
      <c r="L12" s="2"/>
      <c r="M12" s="173"/>
      <c r="N12" s="247"/>
      <c r="O12" s="248"/>
      <c r="P12" s="138" t="str">
        <f>IF(N12="","",N12/5)</f>
        <v/>
      </c>
      <c r="Q12" s="18" t="str">
        <f t="shared" si="1"/>
        <v/>
      </c>
      <c r="R12" s="4"/>
      <c r="S12" s="2"/>
      <c r="T12" s="2"/>
      <c r="U12" s="18"/>
    </row>
    <row r="13" spans="1:24" s="15" customFormat="1" ht="60" customHeight="1">
      <c r="A13" s="209"/>
      <c r="B13" s="258" t="s">
        <v>53</v>
      </c>
      <c r="C13" s="26" t="s">
        <v>237</v>
      </c>
      <c r="D13" s="27" t="s">
        <v>238</v>
      </c>
      <c r="E13" s="28">
        <v>0.4</v>
      </c>
      <c r="F13" s="24" t="s">
        <v>19</v>
      </c>
      <c r="G13" s="195">
        <v>0.9</v>
      </c>
      <c r="H13" s="247"/>
      <c r="I13" s="248"/>
      <c r="J13" s="138" t="str">
        <f>IF(H13="","",H13/5)</f>
        <v/>
      </c>
      <c r="K13" s="25" t="str">
        <f t="shared" si="0"/>
        <v/>
      </c>
      <c r="L13" s="2"/>
      <c r="M13" s="172"/>
      <c r="N13" s="245"/>
      <c r="O13" s="246"/>
      <c r="P13" s="138" t="str">
        <f>IF(N13="","",N13/5)</f>
        <v/>
      </c>
      <c r="Q13" s="18" t="str">
        <f t="shared" si="1"/>
        <v/>
      </c>
      <c r="R13" s="4"/>
      <c r="S13" s="2"/>
      <c r="T13" s="2"/>
      <c r="U13" s="18"/>
      <c r="W13" s="17"/>
      <c r="X13" s="17"/>
    </row>
    <row r="14" spans="1:24" s="15" customFormat="1" ht="60" customHeight="1">
      <c r="A14" s="209"/>
      <c r="B14" s="259"/>
      <c r="C14" s="26" t="s">
        <v>242</v>
      </c>
      <c r="D14" s="27" t="s">
        <v>239</v>
      </c>
      <c r="E14" s="28">
        <v>5</v>
      </c>
      <c r="F14" s="24" t="s">
        <v>224</v>
      </c>
      <c r="G14" s="195">
        <v>15</v>
      </c>
      <c r="H14" s="247"/>
      <c r="I14" s="248"/>
      <c r="J14" s="138" t="str">
        <f>IF(H14="","",(H14*0.1*112.85)/5)</f>
        <v/>
      </c>
      <c r="K14" s="25" t="str">
        <f t="shared" si="0"/>
        <v/>
      </c>
      <c r="L14" s="198"/>
      <c r="M14" s="199"/>
      <c r="N14" s="245"/>
      <c r="O14" s="246"/>
      <c r="P14" s="138" t="str">
        <f>IF(N14="","",(N14*0.1*112.85)/5)</f>
        <v/>
      </c>
      <c r="Q14" s="18" t="str">
        <f t="shared" si="1"/>
        <v/>
      </c>
      <c r="R14" s="193"/>
      <c r="S14" s="198"/>
      <c r="T14" s="198"/>
      <c r="U14" s="183"/>
      <c r="W14" s="17"/>
      <c r="X14" s="17"/>
    </row>
    <row r="15" spans="1:24" s="15" customFormat="1" ht="60" customHeight="1">
      <c r="A15" s="209"/>
      <c r="B15" s="258"/>
      <c r="C15" s="26" t="s">
        <v>241</v>
      </c>
      <c r="D15" s="27" t="s">
        <v>243</v>
      </c>
      <c r="E15" s="28">
        <v>20</v>
      </c>
      <c r="F15" s="24" t="s">
        <v>19</v>
      </c>
      <c r="G15" s="196">
        <v>999</v>
      </c>
      <c r="H15" s="247"/>
      <c r="I15" s="248"/>
      <c r="J15" s="138" t="str">
        <f>IF(H15="","",(H15*195.7)+1.7752)</f>
        <v/>
      </c>
      <c r="K15" s="25" t="str">
        <f t="shared" si="0"/>
        <v/>
      </c>
      <c r="L15" s="2"/>
      <c r="M15" s="172"/>
      <c r="N15" s="245"/>
      <c r="O15" s="246"/>
      <c r="P15" s="138" t="str">
        <f>IF(N15="","",(N15*195.7)+1.7752)</f>
        <v/>
      </c>
      <c r="Q15" s="18" t="str">
        <f t="shared" si="1"/>
        <v/>
      </c>
      <c r="R15" s="2"/>
      <c r="S15" s="2"/>
      <c r="T15" s="2"/>
      <c r="U15" s="18"/>
      <c r="W15" s="17"/>
      <c r="X15" s="17"/>
    </row>
    <row r="16" spans="1:24" s="15" customFormat="1" ht="60" customHeight="1">
      <c r="A16" s="209"/>
      <c r="B16" s="255" t="s">
        <v>38</v>
      </c>
      <c r="C16" s="26" t="s">
        <v>240</v>
      </c>
      <c r="D16" s="27" t="s">
        <v>40</v>
      </c>
      <c r="E16" s="28">
        <v>90</v>
      </c>
      <c r="F16" s="24" t="s">
        <v>19</v>
      </c>
      <c r="G16" s="29">
        <v>110</v>
      </c>
      <c r="H16" s="247"/>
      <c r="I16" s="248"/>
      <c r="J16" s="138" t="str">
        <f>IF(H16="","",7.24*H16*F值!$B$3)</f>
        <v/>
      </c>
      <c r="K16" s="25" t="str">
        <f t="shared" si="0"/>
        <v/>
      </c>
      <c r="L16" s="2"/>
      <c r="M16" s="172"/>
      <c r="N16" s="247"/>
      <c r="O16" s="248"/>
      <c r="P16" s="138" t="str">
        <f>IF(N16="","",7.24*N16*F值!$B$3)</f>
        <v/>
      </c>
      <c r="Q16" s="18" t="str">
        <f t="shared" si="1"/>
        <v/>
      </c>
      <c r="R16" s="4"/>
      <c r="S16" s="2"/>
      <c r="T16" s="2"/>
      <c r="U16" s="18"/>
      <c r="W16" s="17"/>
      <c r="X16" s="17"/>
    </row>
    <row r="17" spans="1:24" s="15" customFormat="1" ht="60" customHeight="1">
      <c r="A17" s="209"/>
      <c r="B17" s="255"/>
      <c r="C17" s="26" t="s">
        <v>242</v>
      </c>
      <c r="D17" s="26" t="s">
        <v>41</v>
      </c>
      <c r="E17" s="137">
        <v>0</v>
      </c>
      <c r="F17" s="24" t="s">
        <v>19</v>
      </c>
      <c r="G17" s="29">
        <v>0.3</v>
      </c>
      <c r="H17" s="247"/>
      <c r="I17" s="248"/>
      <c r="J17" s="138" t="str">
        <f>IF(H17="","",2.256*H17*F值!$B$9)</f>
        <v/>
      </c>
      <c r="K17" s="25" t="str">
        <f t="shared" si="0"/>
        <v/>
      </c>
      <c r="L17" s="22"/>
      <c r="M17" s="172"/>
      <c r="N17" s="247"/>
      <c r="O17" s="248"/>
      <c r="P17" s="138" t="str">
        <f>IF(N17="","",2.256*N17*F值!$B$9)</f>
        <v/>
      </c>
      <c r="Q17" s="18" t="str">
        <f t="shared" si="1"/>
        <v/>
      </c>
      <c r="R17" s="4"/>
      <c r="S17" s="2"/>
      <c r="T17" s="2"/>
      <c r="U17" s="18"/>
      <c r="W17" s="17"/>
      <c r="X17" s="17"/>
    </row>
    <row r="18" spans="1:24" ht="60" customHeight="1">
      <c r="A18" s="209"/>
      <c r="B18" s="255" t="s">
        <v>57</v>
      </c>
      <c r="C18" s="26" t="s">
        <v>42</v>
      </c>
      <c r="D18" s="27" t="s">
        <v>43</v>
      </c>
      <c r="E18" s="28">
        <v>4.5999999999999996</v>
      </c>
      <c r="F18" s="24" t="s">
        <v>19</v>
      </c>
      <c r="G18" s="29">
        <v>5</v>
      </c>
      <c r="H18" s="247"/>
      <c r="I18" s="248"/>
      <c r="J18" s="138" t="str">
        <f>IF(H18="","",0.59*H18*F值!$B$6)</f>
        <v/>
      </c>
      <c r="K18" s="25" t="str">
        <f t="shared" si="0"/>
        <v/>
      </c>
      <c r="L18" s="2"/>
      <c r="M18" s="172"/>
      <c r="N18" s="247"/>
      <c r="O18" s="248"/>
      <c r="P18" s="138" t="str">
        <f>IF(N18="","",0.59*N18*F值!$B$6)</f>
        <v/>
      </c>
      <c r="Q18" s="18" t="str">
        <f t="shared" si="1"/>
        <v/>
      </c>
      <c r="R18" s="4"/>
      <c r="S18" s="2"/>
      <c r="T18" s="2"/>
      <c r="U18" s="18"/>
    </row>
    <row r="19" spans="1:24" ht="60" customHeight="1">
      <c r="A19" s="209"/>
      <c r="B19" s="255"/>
      <c r="C19" s="104" t="s">
        <v>58</v>
      </c>
      <c r="D19" s="27" t="s">
        <v>44</v>
      </c>
      <c r="E19" s="28">
        <v>17</v>
      </c>
      <c r="F19" s="24" t="s">
        <v>19</v>
      </c>
      <c r="G19" s="29">
        <v>20</v>
      </c>
      <c r="H19" s="169"/>
      <c r="I19" s="113"/>
      <c r="J19" s="143" t="str">
        <f>IF(I19="","",(H19-I19)*2.65)</f>
        <v/>
      </c>
      <c r="K19" s="25" t="str">
        <f t="shared" si="0"/>
        <v/>
      </c>
      <c r="L19" s="2"/>
      <c r="M19" s="172"/>
      <c r="N19" s="169"/>
      <c r="O19" s="113"/>
      <c r="P19" s="143" t="str">
        <f>IF(O19="","",(N19-O19)*2.65)</f>
        <v/>
      </c>
      <c r="Q19" s="18" t="str">
        <f t="shared" si="1"/>
        <v/>
      </c>
      <c r="R19" s="4"/>
      <c r="S19" s="2"/>
      <c r="T19" s="2"/>
      <c r="U19" s="18"/>
      <c r="V19" s="14"/>
    </row>
    <row r="20" spans="1:24" ht="60" customHeight="1">
      <c r="A20" s="209"/>
      <c r="B20" s="255"/>
      <c r="C20" s="105" t="s">
        <v>59</v>
      </c>
      <c r="D20" s="26" t="s">
        <v>45</v>
      </c>
      <c r="E20" s="23">
        <v>0</v>
      </c>
      <c r="F20" s="24" t="s">
        <v>19</v>
      </c>
      <c r="G20" s="25">
        <v>100</v>
      </c>
      <c r="H20" s="168"/>
      <c r="I20" s="113"/>
      <c r="J20" s="143" t="str">
        <f>IF(I20="","",(H20-I20)*10.8)</f>
        <v/>
      </c>
      <c r="K20" s="25" t="str">
        <f t="shared" si="0"/>
        <v/>
      </c>
      <c r="L20" s="22"/>
      <c r="M20" s="172"/>
      <c r="N20" s="168"/>
      <c r="O20" s="113"/>
      <c r="P20" s="143" t="str">
        <f>IF(O20="","",(N20-O20)*10.8)</f>
        <v/>
      </c>
      <c r="Q20" s="18" t="str">
        <f t="shared" si="1"/>
        <v/>
      </c>
      <c r="R20" s="4"/>
      <c r="S20" s="2"/>
      <c r="T20" s="2"/>
      <c r="U20" s="18"/>
      <c r="V20" s="14"/>
    </row>
    <row r="21" spans="1:24" ht="60" customHeight="1">
      <c r="A21" s="209"/>
      <c r="B21" s="255"/>
      <c r="C21" s="18" t="s">
        <v>32</v>
      </c>
      <c r="D21" s="18" t="s">
        <v>46</v>
      </c>
      <c r="E21" s="23">
        <v>8.3000000000000007</v>
      </c>
      <c r="F21" s="24" t="s">
        <v>19</v>
      </c>
      <c r="G21" s="25">
        <v>8.6999999999999993</v>
      </c>
      <c r="H21" s="249" t="s">
        <v>34</v>
      </c>
      <c r="I21" s="250"/>
      <c r="J21" s="144"/>
      <c r="K21" s="25" t="str">
        <f t="shared" si="0"/>
        <v/>
      </c>
      <c r="L21" s="2"/>
      <c r="M21" s="172"/>
      <c r="N21" s="249" t="s">
        <v>34</v>
      </c>
      <c r="O21" s="250"/>
      <c r="P21" s="144"/>
      <c r="Q21" s="18" t="str">
        <f t="shared" si="1"/>
        <v/>
      </c>
      <c r="R21" s="4"/>
      <c r="S21" s="2"/>
      <c r="T21" s="2"/>
      <c r="U21" s="18"/>
    </row>
    <row r="22" spans="1:24" ht="18" customHeight="1">
      <c r="A22" s="33" t="s">
        <v>23</v>
      </c>
      <c r="B22" s="34"/>
      <c r="C22" s="34"/>
      <c r="D22" s="34"/>
      <c r="E22" s="34"/>
      <c r="F22" s="34"/>
      <c r="G22" s="34"/>
      <c r="H22" s="34"/>
      <c r="I22" s="34"/>
      <c r="J22" s="34"/>
      <c r="K22" s="31"/>
    </row>
    <row r="23" spans="1:24" ht="18" customHeight="1">
      <c r="A23" s="19"/>
      <c r="B23" s="15"/>
      <c r="D23" s="15"/>
      <c r="E23" s="15"/>
      <c r="F23" s="15"/>
      <c r="G23" s="15"/>
      <c r="H23" s="15"/>
      <c r="I23" s="15"/>
      <c r="J23" s="15"/>
      <c r="K23" s="36"/>
    </row>
    <row r="24" spans="1:24" ht="18" customHeight="1">
      <c r="A24" s="238"/>
      <c r="B24" s="239"/>
      <c r="C24" s="240"/>
      <c r="D24" s="240"/>
      <c r="E24" s="240"/>
      <c r="F24" s="240"/>
      <c r="G24" s="240"/>
      <c r="H24" s="240"/>
      <c r="I24" s="240"/>
      <c r="J24" s="240"/>
      <c r="K24" s="241"/>
    </row>
    <row r="25" spans="1:24" s="16" customFormat="1" ht="18" customHeight="1">
      <c r="A25" s="242"/>
      <c r="B25" s="243"/>
      <c r="C25" s="243"/>
      <c r="D25" s="243"/>
      <c r="E25" s="243"/>
      <c r="F25" s="243"/>
      <c r="G25" s="243"/>
      <c r="H25" s="243"/>
      <c r="I25" s="243"/>
      <c r="J25" s="243"/>
      <c r="K25" s="244"/>
      <c r="L25" s="103"/>
      <c r="M25" s="103"/>
      <c r="N25" s="103"/>
      <c r="O25" s="103"/>
      <c r="P25" s="103"/>
      <c r="Q25" s="103"/>
      <c r="R25" s="103"/>
      <c r="S25" s="103"/>
      <c r="T25" s="103"/>
      <c r="V25" s="14"/>
    </row>
    <row r="26" spans="1:24" s="16" customFormat="1" ht="18" customHeight="1">
      <c r="A26" s="37" t="s">
        <v>25</v>
      </c>
      <c r="B26" s="14"/>
      <c r="C26" s="38" t="s">
        <v>26</v>
      </c>
      <c r="D26" s="14"/>
      <c r="E26" s="14"/>
      <c r="F26" s="14"/>
      <c r="G26" s="14"/>
      <c r="H26" s="38"/>
      <c r="I26" s="38" t="s">
        <v>27</v>
      </c>
      <c r="J26" s="14"/>
      <c r="K26" s="14"/>
      <c r="L26" s="103"/>
      <c r="M26" s="103"/>
      <c r="N26" s="103"/>
      <c r="O26" s="103"/>
      <c r="P26" s="103"/>
      <c r="Q26" s="103"/>
      <c r="R26" s="103"/>
      <c r="S26" s="103"/>
      <c r="T26" s="103"/>
      <c r="V26" s="14"/>
    </row>
    <row r="27" spans="1:24" s="16" customFormat="1" ht="18" customHeight="1">
      <c r="A27" s="14"/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03"/>
      <c r="M27" s="103"/>
      <c r="N27" s="103"/>
      <c r="O27" s="103"/>
      <c r="P27" s="103"/>
      <c r="Q27" s="103"/>
      <c r="R27" s="103"/>
      <c r="S27" s="103"/>
      <c r="T27" s="103"/>
      <c r="V27" s="14"/>
    </row>
    <row r="28" spans="1:24" s="16" customFormat="1" ht="18" customHeight="1">
      <c r="A28" s="14"/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03"/>
      <c r="M28" s="103"/>
      <c r="N28" s="103"/>
      <c r="O28" s="103"/>
      <c r="P28" s="103"/>
      <c r="Q28" s="103"/>
      <c r="R28" s="103"/>
      <c r="S28" s="103"/>
      <c r="T28" s="103"/>
      <c r="V28" s="14"/>
    </row>
  </sheetData>
  <sheetProtection algorithmName="SHA-512" hashValue="MnTDlYukcUcYMh757lzoa5FKJ0qGqEpWtloHUVLor42+jH3Wsl5rAxD4ZsKekLc10iumRcCKk3tEP3pXndIzlw==" saltValue="ewp1b8ikFSqIGLwGuRyerA==" spinCount="100000" sheet="1" objects="1" scenarios="1"/>
  <mergeCells count="41">
    <mergeCell ref="N21:O21"/>
    <mergeCell ref="H12:I12"/>
    <mergeCell ref="N12:O12"/>
    <mergeCell ref="A24:K25"/>
    <mergeCell ref="B13:B15"/>
    <mergeCell ref="H13:I13"/>
    <mergeCell ref="N13:O13"/>
    <mergeCell ref="H15:I15"/>
    <mergeCell ref="N15:O15"/>
    <mergeCell ref="B16:B17"/>
    <mergeCell ref="H16:I16"/>
    <mergeCell ref="N16:O16"/>
    <mergeCell ref="H17:I17"/>
    <mergeCell ref="N17:O17"/>
    <mergeCell ref="H14:I14"/>
    <mergeCell ref="B18:B21"/>
    <mergeCell ref="H18:I18"/>
    <mergeCell ref="N18:O18"/>
    <mergeCell ref="H21:I21"/>
    <mergeCell ref="N6:O6"/>
    <mergeCell ref="A7:A21"/>
    <mergeCell ref="B7:B9"/>
    <mergeCell ref="H7:I7"/>
    <mergeCell ref="N7:O7"/>
    <mergeCell ref="H8:I8"/>
    <mergeCell ref="N8:O8"/>
    <mergeCell ref="H9:I9"/>
    <mergeCell ref="N9:O9"/>
    <mergeCell ref="B10:B11"/>
    <mergeCell ref="E6:G6"/>
    <mergeCell ref="H6:I6"/>
    <mergeCell ref="H10:I10"/>
    <mergeCell ref="N14:O14"/>
    <mergeCell ref="N10:O10"/>
    <mergeCell ref="H11:I11"/>
    <mergeCell ref="N11:O11"/>
    <mergeCell ref="A1:K1"/>
    <mergeCell ref="A2:K2"/>
    <mergeCell ref="B3:K3"/>
    <mergeCell ref="B4:K4"/>
    <mergeCell ref="B5:K5"/>
  </mergeCells>
  <phoneticPr fontId="18" type="noConversion"/>
  <conditionalFormatting sqref="K7:K21">
    <cfRule type="containsText" dxfId="45" priority="6" operator="containsText" text="NG">
      <formula>NOT(ISERROR(SEARCH("NG",K7)))</formula>
    </cfRule>
  </conditionalFormatting>
  <conditionalFormatting sqref="L10">
    <cfRule type="containsText" dxfId="44" priority="5" operator="containsText" text="NG">
      <formula>NOT(ISERROR(SEARCH("NG",L10)))</formula>
    </cfRule>
  </conditionalFormatting>
  <conditionalFormatting sqref="L12:L16">
    <cfRule type="containsText" dxfId="43" priority="4" operator="containsText" text="NG">
      <formula>NOT(ISERROR(SEARCH("NG",L12)))</formula>
    </cfRule>
  </conditionalFormatting>
  <conditionalFormatting sqref="L18:L19">
    <cfRule type="containsText" dxfId="42" priority="3" operator="containsText" text="NG">
      <formula>NOT(ISERROR(SEARCH("NG",L18)))</formula>
    </cfRule>
  </conditionalFormatting>
  <conditionalFormatting sqref="L7:M7 L21:M21">
    <cfRule type="containsText" dxfId="41" priority="7" operator="containsText" text="NG">
      <formula>NOT(ISERROR(SEARCH("NG",L7)))</formula>
    </cfRule>
  </conditionalFormatting>
  <conditionalFormatting sqref="M8:M20">
    <cfRule type="containsText" dxfId="40" priority="2" operator="containsText" text="NG">
      <formula>NOT(ISERROR(SEARCH("NG",M8)))</formula>
    </cfRule>
  </conditionalFormatting>
  <conditionalFormatting sqref="Q7:R21">
    <cfRule type="containsText" dxfId="39" priority="1" operator="containsText" text="NG">
      <formula>NOT(ISERROR(SEARCH("NG",Q7)))</formula>
    </cfRule>
  </conditionalFormatting>
  <conditionalFormatting sqref="T7:T21">
    <cfRule type="containsText" dxfId="38" priority="8" operator="containsText" text="NG">
      <formula>NOT(ISERROR(SEARCH("NG",T7)))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3C15-1D4D-4D7C-B4FA-5B4B22039ED5}">
  <sheetPr>
    <tabColor rgb="FF002060"/>
    <pageSetUpPr fitToPage="1"/>
  </sheetPr>
  <dimension ref="A1:X28"/>
  <sheetViews>
    <sheetView showGridLines="0" zoomScale="40" zoomScaleNormal="40" workbookViewId="0">
      <selection activeCell="N14" sqref="N14:O14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11.125" style="14" customWidth="1"/>
    <col min="10" max="11" width="21.625" style="14" customWidth="1"/>
    <col min="12" max="12" width="21.625" style="103" customWidth="1"/>
    <col min="13" max="13" width="50.625" style="103" customWidth="1"/>
    <col min="14" max="15" width="11.125" style="103" customWidth="1"/>
    <col min="16" max="17" width="21.625" style="103" customWidth="1"/>
    <col min="18" max="18" width="30.625" style="103" customWidth="1"/>
    <col min="19" max="20" width="21.625" style="103" customWidth="1"/>
    <col min="21" max="21" width="21.625" style="17" customWidth="1"/>
    <col min="22" max="22" width="30.625" style="15" customWidth="1"/>
    <col min="23" max="24" width="30.625" style="17" customWidth="1"/>
    <col min="25" max="16384" width="9" style="17"/>
  </cols>
  <sheetData>
    <row r="1" spans="1:24" ht="27.75" customHeight="1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24" ht="50.25">
      <c r="A2" s="201" t="s">
        <v>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4" ht="35.1" customHeight="1">
      <c r="A3" s="18" t="s">
        <v>1</v>
      </c>
      <c r="B3" s="251" t="s">
        <v>244</v>
      </c>
      <c r="C3" s="251"/>
      <c r="D3" s="251"/>
      <c r="E3" s="251"/>
      <c r="F3" s="251"/>
      <c r="G3" s="251"/>
      <c r="H3" s="251"/>
      <c r="I3" s="251"/>
      <c r="J3" s="251"/>
      <c r="K3" s="251"/>
    </row>
    <row r="4" spans="1:24" ht="35.1" customHeight="1">
      <c r="A4" s="18" t="s">
        <v>2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</row>
    <row r="5" spans="1:24" ht="35.1" customHeight="1">
      <c r="A5" s="18" t="s">
        <v>3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17"/>
      <c r="M5" s="17"/>
      <c r="N5" s="163" t="s">
        <v>206</v>
      </c>
      <c r="O5" s="164"/>
      <c r="P5" s="164"/>
      <c r="Q5" s="164"/>
      <c r="R5" s="17"/>
      <c r="S5" s="17"/>
      <c r="T5" s="17"/>
    </row>
    <row r="6" spans="1:24" ht="35.1" customHeight="1">
      <c r="A6" s="18" t="s">
        <v>1</v>
      </c>
      <c r="B6" s="18" t="s">
        <v>4</v>
      </c>
      <c r="C6" s="20" t="s">
        <v>5</v>
      </c>
      <c r="D6" s="20" t="s">
        <v>6</v>
      </c>
      <c r="E6" s="255" t="s">
        <v>7</v>
      </c>
      <c r="F6" s="255"/>
      <c r="G6" s="255"/>
      <c r="H6" s="253" t="s">
        <v>8</v>
      </c>
      <c r="I6" s="254"/>
      <c r="J6" s="20" t="s">
        <v>9</v>
      </c>
      <c r="K6" s="20" t="s">
        <v>10</v>
      </c>
      <c r="L6" s="1" t="s">
        <v>11</v>
      </c>
      <c r="M6" s="2" t="s">
        <v>13</v>
      </c>
      <c r="N6" s="253" t="s">
        <v>8</v>
      </c>
      <c r="O6" s="254"/>
      <c r="P6" s="20" t="s">
        <v>9</v>
      </c>
      <c r="Q6" s="47" t="s">
        <v>10</v>
      </c>
      <c r="R6" s="2" t="s">
        <v>12</v>
      </c>
      <c r="S6" s="2" t="s">
        <v>14</v>
      </c>
      <c r="T6" s="2" t="s">
        <v>15</v>
      </c>
      <c r="U6" s="150" t="s">
        <v>171</v>
      </c>
    </row>
    <row r="7" spans="1:24" ht="60" customHeight="1">
      <c r="A7" s="208" t="s">
        <v>258</v>
      </c>
      <c r="B7" s="255" t="s">
        <v>28</v>
      </c>
      <c r="C7" s="18" t="s">
        <v>29</v>
      </c>
      <c r="D7" s="18" t="s">
        <v>30</v>
      </c>
      <c r="E7" s="23">
        <v>18</v>
      </c>
      <c r="F7" s="24" t="s">
        <v>19</v>
      </c>
      <c r="G7" s="25">
        <v>22</v>
      </c>
      <c r="H7" s="256"/>
      <c r="I7" s="257"/>
      <c r="J7" s="142" t="str">
        <f>IF(H7="","",(1.12*H7*F值!$B$4)*2)</f>
        <v/>
      </c>
      <c r="K7" s="25" t="str">
        <f>IF(J7="","",IF(OR(J7&lt;E7,J7&gt;G7),"NG","OK"))</f>
        <v/>
      </c>
      <c r="L7" s="2"/>
      <c r="M7" s="172"/>
      <c r="N7" s="256"/>
      <c r="O7" s="257"/>
      <c r="P7" s="142" t="str">
        <f>IF(N7="","",(1.12*N7*F值!$B$4)*2)</f>
        <v/>
      </c>
      <c r="Q7" s="18" t="str">
        <f>IF(P7="","",IF(OR(P7&lt;E7,P7&gt;G7),"NG","OK"))</f>
        <v/>
      </c>
      <c r="R7" s="4"/>
      <c r="S7" s="2"/>
      <c r="T7" s="2"/>
      <c r="U7" s="18"/>
    </row>
    <row r="8" spans="1:24" ht="60" customHeight="1">
      <c r="A8" s="209"/>
      <c r="B8" s="255"/>
      <c r="C8" s="26" t="s">
        <v>47</v>
      </c>
      <c r="D8" s="27" t="s">
        <v>31</v>
      </c>
      <c r="E8" s="28">
        <v>7</v>
      </c>
      <c r="F8" s="24" t="s">
        <v>19</v>
      </c>
      <c r="G8" s="29">
        <v>9</v>
      </c>
      <c r="H8" s="249" t="s">
        <v>34</v>
      </c>
      <c r="I8" s="250"/>
      <c r="J8" s="143"/>
      <c r="K8" s="25" t="str">
        <f t="shared" ref="K8:K21" si="0">IF(J8="","",IF(OR(J8&lt;E8,J8&gt;G8),"NG","OK"))</f>
        <v/>
      </c>
      <c r="L8" s="22"/>
      <c r="M8" s="172"/>
      <c r="N8" s="249" t="s">
        <v>34</v>
      </c>
      <c r="O8" s="250"/>
      <c r="P8" s="143"/>
      <c r="Q8" s="18" t="str">
        <f t="shared" ref="Q8:Q21" si="1">IF(P8="","",IF(OR(P8&lt;E8,P8&gt;G8),"NG","OK"))</f>
        <v/>
      </c>
      <c r="R8" s="2"/>
      <c r="S8" s="2"/>
      <c r="T8" s="2"/>
      <c r="U8" s="18"/>
    </row>
    <row r="9" spans="1:24" ht="60" customHeight="1">
      <c r="A9" s="209"/>
      <c r="B9" s="255"/>
      <c r="C9" s="18" t="s">
        <v>32</v>
      </c>
      <c r="D9" s="27" t="s">
        <v>33</v>
      </c>
      <c r="E9" s="28">
        <v>12.8</v>
      </c>
      <c r="F9" s="24" t="s">
        <v>19</v>
      </c>
      <c r="G9" s="29">
        <v>13.8</v>
      </c>
      <c r="H9" s="249" t="s">
        <v>34</v>
      </c>
      <c r="I9" s="250"/>
      <c r="J9" s="143"/>
      <c r="K9" s="25" t="str">
        <f t="shared" si="0"/>
        <v/>
      </c>
      <c r="L9" s="22"/>
      <c r="M9" s="172"/>
      <c r="N9" s="249" t="s">
        <v>34</v>
      </c>
      <c r="O9" s="250"/>
      <c r="P9" s="143"/>
      <c r="Q9" s="18" t="str">
        <f t="shared" si="1"/>
        <v/>
      </c>
      <c r="R9" s="2"/>
      <c r="S9" s="2"/>
      <c r="T9" s="2"/>
      <c r="U9" s="18"/>
    </row>
    <row r="10" spans="1:24" ht="60" customHeight="1">
      <c r="A10" s="209"/>
      <c r="B10" s="255" t="s">
        <v>48</v>
      </c>
      <c r="C10" s="26" t="s">
        <v>35</v>
      </c>
      <c r="D10" s="27" t="s">
        <v>36</v>
      </c>
      <c r="E10" s="28">
        <v>135</v>
      </c>
      <c r="F10" s="24" t="s">
        <v>19</v>
      </c>
      <c r="G10" s="29">
        <v>165</v>
      </c>
      <c r="H10" s="247"/>
      <c r="I10" s="248"/>
      <c r="J10" s="138" t="str">
        <f>IF(H10="","",(11.94*H10*F值!$B$8))</f>
        <v/>
      </c>
      <c r="K10" s="25" t="str">
        <f t="shared" si="0"/>
        <v/>
      </c>
      <c r="L10" s="2"/>
      <c r="M10" s="172"/>
      <c r="N10" s="247"/>
      <c r="O10" s="248"/>
      <c r="P10" s="138" t="str">
        <f>IF(N10="","",(11.94*N10*F值!$B$8))</f>
        <v/>
      </c>
      <c r="Q10" s="18" t="str">
        <f t="shared" si="1"/>
        <v/>
      </c>
      <c r="R10" s="4"/>
      <c r="S10" s="2"/>
      <c r="T10" s="2"/>
      <c r="U10" s="18"/>
    </row>
    <row r="11" spans="1:24" ht="60" customHeight="1">
      <c r="A11" s="209"/>
      <c r="B11" s="255"/>
      <c r="C11" s="18" t="s">
        <v>32</v>
      </c>
      <c r="D11" s="27" t="s">
        <v>49</v>
      </c>
      <c r="E11" s="28">
        <v>9.5</v>
      </c>
      <c r="F11" s="24" t="s">
        <v>19</v>
      </c>
      <c r="G11" s="29">
        <v>11</v>
      </c>
      <c r="H11" s="249" t="s">
        <v>34</v>
      </c>
      <c r="I11" s="250"/>
      <c r="J11" s="143"/>
      <c r="K11" s="25" t="str">
        <f t="shared" si="0"/>
        <v/>
      </c>
      <c r="L11" s="22"/>
      <c r="M11" s="172"/>
      <c r="N11" s="249" t="s">
        <v>34</v>
      </c>
      <c r="O11" s="250"/>
      <c r="P11" s="143"/>
      <c r="Q11" s="18" t="str">
        <f t="shared" si="1"/>
        <v/>
      </c>
      <c r="R11" s="2"/>
      <c r="S11" s="2"/>
      <c r="T11" s="2"/>
      <c r="U11" s="18"/>
    </row>
    <row r="12" spans="1:24" ht="60" customHeight="1">
      <c r="A12" s="209"/>
      <c r="B12" s="197" t="s">
        <v>50</v>
      </c>
      <c r="C12" s="26" t="s">
        <v>237</v>
      </c>
      <c r="D12" s="27" t="s">
        <v>236</v>
      </c>
      <c r="E12" s="28">
        <v>0.1</v>
      </c>
      <c r="F12" s="24" t="s">
        <v>19</v>
      </c>
      <c r="G12" s="29">
        <v>0.2</v>
      </c>
      <c r="H12" s="247"/>
      <c r="I12" s="248"/>
      <c r="J12" s="138" t="str">
        <f>IF(H12="","",H12/5)</f>
        <v/>
      </c>
      <c r="K12" s="25" t="str">
        <f t="shared" si="0"/>
        <v/>
      </c>
      <c r="L12" s="2"/>
      <c r="M12" s="173"/>
      <c r="N12" s="247"/>
      <c r="O12" s="248"/>
      <c r="P12" s="138" t="str">
        <f>IF(N12="","",N12/5)</f>
        <v/>
      </c>
      <c r="Q12" s="18" t="str">
        <f t="shared" si="1"/>
        <v/>
      </c>
      <c r="R12" s="4"/>
      <c r="S12" s="2"/>
      <c r="T12" s="2"/>
      <c r="U12" s="18"/>
    </row>
    <row r="13" spans="1:24" s="15" customFormat="1" ht="60" customHeight="1">
      <c r="A13" s="209"/>
      <c r="B13" s="258" t="s">
        <v>53</v>
      </c>
      <c r="C13" s="26" t="s">
        <v>237</v>
      </c>
      <c r="D13" s="27" t="s">
        <v>238</v>
      </c>
      <c r="E13" s="28">
        <v>0.4</v>
      </c>
      <c r="F13" s="24" t="s">
        <v>19</v>
      </c>
      <c r="G13" s="195">
        <v>0.9</v>
      </c>
      <c r="H13" s="247"/>
      <c r="I13" s="248"/>
      <c r="J13" s="138" t="str">
        <f>IF(H13="","",H13/5)</f>
        <v/>
      </c>
      <c r="K13" s="25" t="str">
        <f t="shared" si="0"/>
        <v/>
      </c>
      <c r="L13" s="2"/>
      <c r="M13" s="172"/>
      <c r="N13" s="245"/>
      <c r="O13" s="246"/>
      <c r="P13" s="138" t="str">
        <f>IF(N13="","",N13/5)</f>
        <v/>
      </c>
      <c r="Q13" s="18" t="str">
        <f t="shared" si="1"/>
        <v/>
      </c>
      <c r="R13" s="4"/>
      <c r="S13" s="2"/>
      <c r="T13" s="2"/>
      <c r="U13" s="18"/>
      <c r="W13" s="17"/>
      <c r="X13" s="17"/>
    </row>
    <row r="14" spans="1:24" s="15" customFormat="1" ht="60" customHeight="1">
      <c r="A14" s="209"/>
      <c r="B14" s="259"/>
      <c r="C14" s="26" t="s">
        <v>242</v>
      </c>
      <c r="D14" s="27" t="s">
        <v>239</v>
      </c>
      <c r="E14" s="28">
        <v>5</v>
      </c>
      <c r="F14" s="24" t="s">
        <v>224</v>
      </c>
      <c r="G14" s="195">
        <v>15</v>
      </c>
      <c r="H14" s="247"/>
      <c r="I14" s="248"/>
      <c r="J14" s="138" t="str">
        <f>IF(H14="","",(H14*0.1*112.85)/5)</f>
        <v/>
      </c>
      <c r="K14" s="25" t="str">
        <f t="shared" si="0"/>
        <v/>
      </c>
      <c r="L14" s="198"/>
      <c r="M14" s="199"/>
      <c r="N14" s="245"/>
      <c r="O14" s="246"/>
      <c r="P14" s="138" t="str">
        <f>IF(N14="","",(N14*0.1*112.85)/5)</f>
        <v/>
      </c>
      <c r="Q14" s="18" t="str">
        <f t="shared" si="1"/>
        <v/>
      </c>
      <c r="R14" s="193"/>
      <c r="S14" s="198"/>
      <c r="T14" s="198"/>
      <c r="U14" s="183"/>
      <c r="W14" s="17"/>
      <c r="X14" s="17"/>
    </row>
    <row r="15" spans="1:24" s="15" customFormat="1" ht="60" customHeight="1">
      <c r="A15" s="209"/>
      <c r="B15" s="258"/>
      <c r="C15" s="26" t="s">
        <v>241</v>
      </c>
      <c r="D15" s="27" t="s">
        <v>243</v>
      </c>
      <c r="E15" s="28">
        <v>20</v>
      </c>
      <c r="F15" s="24" t="s">
        <v>19</v>
      </c>
      <c r="G15" s="196">
        <v>999</v>
      </c>
      <c r="H15" s="247"/>
      <c r="I15" s="248"/>
      <c r="J15" s="138" t="str">
        <f>IF(H15="","",(H15*195.7)+1.7752)</f>
        <v/>
      </c>
      <c r="K15" s="25" t="str">
        <f t="shared" si="0"/>
        <v/>
      </c>
      <c r="L15" s="2"/>
      <c r="M15" s="172"/>
      <c r="N15" s="245"/>
      <c r="O15" s="246"/>
      <c r="P15" s="138" t="str">
        <f>IF(N15="","",(N15*195.7)+1.7752)</f>
        <v/>
      </c>
      <c r="Q15" s="18" t="str">
        <f t="shared" si="1"/>
        <v/>
      </c>
      <c r="R15" s="2"/>
      <c r="S15" s="2"/>
      <c r="T15" s="2"/>
      <c r="U15" s="18"/>
      <c r="W15" s="17"/>
      <c r="X15" s="17"/>
    </row>
    <row r="16" spans="1:24" s="15" customFormat="1" ht="60" customHeight="1">
      <c r="A16" s="209"/>
      <c r="B16" s="255" t="s">
        <v>38</v>
      </c>
      <c r="C16" s="26" t="s">
        <v>240</v>
      </c>
      <c r="D16" s="27" t="s">
        <v>40</v>
      </c>
      <c r="E16" s="28">
        <v>90</v>
      </c>
      <c r="F16" s="24" t="s">
        <v>19</v>
      </c>
      <c r="G16" s="29">
        <v>110</v>
      </c>
      <c r="H16" s="247"/>
      <c r="I16" s="248"/>
      <c r="J16" s="138" t="str">
        <f>IF(H16="","",7.24*H16*F值!$B$3)</f>
        <v/>
      </c>
      <c r="K16" s="25" t="str">
        <f t="shared" si="0"/>
        <v/>
      </c>
      <c r="L16" s="2"/>
      <c r="M16" s="172"/>
      <c r="N16" s="247"/>
      <c r="O16" s="248"/>
      <c r="P16" s="138" t="str">
        <f>IF(N16="","",7.24*N16*F值!$B$3)</f>
        <v/>
      </c>
      <c r="Q16" s="18" t="str">
        <f t="shared" si="1"/>
        <v/>
      </c>
      <c r="R16" s="4"/>
      <c r="S16" s="2"/>
      <c r="T16" s="2"/>
      <c r="U16" s="18"/>
      <c r="W16" s="17"/>
      <c r="X16" s="17"/>
    </row>
    <row r="17" spans="1:24" s="15" customFormat="1" ht="60" customHeight="1">
      <c r="A17" s="209"/>
      <c r="B17" s="255"/>
      <c r="C17" s="26" t="s">
        <v>242</v>
      </c>
      <c r="D17" s="26" t="s">
        <v>41</v>
      </c>
      <c r="E17" s="137">
        <v>0</v>
      </c>
      <c r="F17" s="24" t="s">
        <v>19</v>
      </c>
      <c r="G17" s="29">
        <v>0.3</v>
      </c>
      <c r="H17" s="247"/>
      <c r="I17" s="248"/>
      <c r="J17" s="138" t="str">
        <f>IF(H17="","",2.256*H17*F值!$B$9)</f>
        <v/>
      </c>
      <c r="K17" s="25" t="str">
        <f t="shared" si="0"/>
        <v/>
      </c>
      <c r="L17" s="22"/>
      <c r="M17" s="172"/>
      <c r="N17" s="247"/>
      <c r="O17" s="248"/>
      <c r="P17" s="138" t="str">
        <f>IF(N17="","",2.256*N17*F值!$B$9)</f>
        <v/>
      </c>
      <c r="Q17" s="18" t="str">
        <f t="shared" si="1"/>
        <v/>
      </c>
      <c r="R17" s="4"/>
      <c r="S17" s="2"/>
      <c r="T17" s="2"/>
      <c r="U17" s="18"/>
      <c r="W17" s="17"/>
      <c r="X17" s="17"/>
    </row>
    <row r="18" spans="1:24" ht="60" customHeight="1">
      <c r="A18" s="209"/>
      <c r="B18" s="255" t="s">
        <v>57</v>
      </c>
      <c r="C18" s="26" t="s">
        <v>42</v>
      </c>
      <c r="D18" s="27" t="s">
        <v>43</v>
      </c>
      <c r="E18" s="28">
        <v>4.5999999999999996</v>
      </c>
      <c r="F18" s="24" t="s">
        <v>19</v>
      </c>
      <c r="G18" s="29">
        <v>5</v>
      </c>
      <c r="H18" s="247"/>
      <c r="I18" s="248"/>
      <c r="J18" s="138" t="str">
        <f>IF(H18="","",0.59*H18*F值!$B$6)</f>
        <v/>
      </c>
      <c r="K18" s="25" t="str">
        <f t="shared" si="0"/>
        <v/>
      </c>
      <c r="L18" s="2"/>
      <c r="M18" s="172"/>
      <c r="N18" s="247"/>
      <c r="O18" s="248"/>
      <c r="P18" s="138" t="str">
        <f>IF(N18="","",0.59*N18*F值!$B$6)</f>
        <v/>
      </c>
      <c r="Q18" s="18" t="str">
        <f t="shared" si="1"/>
        <v/>
      </c>
      <c r="R18" s="4"/>
      <c r="S18" s="2"/>
      <c r="T18" s="2"/>
      <c r="U18" s="18"/>
    </row>
    <row r="19" spans="1:24" ht="60" customHeight="1">
      <c r="A19" s="209"/>
      <c r="B19" s="255"/>
      <c r="C19" s="104" t="s">
        <v>58</v>
      </c>
      <c r="D19" s="27" t="s">
        <v>44</v>
      </c>
      <c r="E19" s="28">
        <v>17</v>
      </c>
      <c r="F19" s="24" t="s">
        <v>19</v>
      </c>
      <c r="G19" s="29">
        <v>20</v>
      </c>
      <c r="H19" s="169"/>
      <c r="I19" s="113"/>
      <c r="J19" s="143" t="str">
        <f>IF(I19="","",(H19-I19)*2.65)</f>
        <v/>
      </c>
      <c r="K19" s="25" t="str">
        <f t="shared" si="0"/>
        <v/>
      </c>
      <c r="L19" s="2"/>
      <c r="M19" s="172"/>
      <c r="N19" s="169"/>
      <c r="O19" s="113"/>
      <c r="P19" s="143" t="str">
        <f>IF(O19="","",(N19-O19)*2.65)</f>
        <v/>
      </c>
      <c r="Q19" s="18" t="str">
        <f t="shared" si="1"/>
        <v/>
      </c>
      <c r="R19" s="4"/>
      <c r="S19" s="2"/>
      <c r="T19" s="2"/>
      <c r="U19" s="18"/>
      <c r="V19" s="14"/>
    </row>
    <row r="20" spans="1:24" ht="60" customHeight="1">
      <c r="A20" s="209"/>
      <c r="B20" s="255"/>
      <c r="C20" s="105" t="s">
        <v>59</v>
      </c>
      <c r="D20" s="26" t="s">
        <v>45</v>
      </c>
      <c r="E20" s="23">
        <v>0</v>
      </c>
      <c r="F20" s="24" t="s">
        <v>19</v>
      </c>
      <c r="G20" s="25">
        <v>100</v>
      </c>
      <c r="H20" s="168"/>
      <c r="I20" s="113"/>
      <c r="J20" s="143" t="str">
        <f>IF(I20="","",(H20-I20)*10.8)</f>
        <v/>
      </c>
      <c r="K20" s="25" t="str">
        <f t="shared" si="0"/>
        <v/>
      </c>
      <c r="L20" s="22"/>
      <c r="M20" s="172"/>
      <c r="N20" s="168"/>
      <c r="O20" s="113"/>
      <c r="P20" s="143" t="str">
        <f>IF(O20="","",(N20-O20)*10.8)</f>
        <v/>
      </c>
      <c r="Q20" s="18" t="str">
        <f t="shared" si="1"/>
        <v/>
      </c>
      <c r="R20" s="4"/>
      <c r="S20" s="2"/>
      <c r="T20" s="2"/>
      <c r="U20" s="18"/>
      <c r="V20" s="14"/>
    </row>
    <row r="21" spans="1:24" ht="60" customHeight="1">
      <c r="A21" s="209"/>
      <c r="B21" s="255"/>
      <c r="C21" s="18" t="s">
        <v>32</v>
      </c>
      <c r="D21" s="18" t="s">
        <v>46</v>
      </c>
      <c r="E21" s="23">
        <v>8.3000000000000007</v>
      </c>
      <c r="F21" s="24" t="s">
        <v>19</v>
      </c>
      <c r="G21" s="25">
        <v>8.6999999999999993</v>
      </c>
      <c r="H21" s="249" t="s">
        <v>34</v>
      </c>
      <c r="I21" s="250"/>
      <c r="J21" s="144"/>
      <c r="K21" s="25" t="str">
        <f t="shared" si="0"/>
        <v/>
      </c>
      <c r="L21" s="2"/>
      <c r="M21" s="172"/>
      <c r="N21" s="249" t="s">
        <v>34</v>
      </c>
      <c r="O21" s="250"/>
      <c r="P21" s="144"/>
      <c r="Q21" s="18" t="str">
        <f t="shared" si="1"/>
        <v/>
      </c>
      <c r="R21" s="4"/>
      <c r="S21" s="2"/>
      <c r="T21" s="2"/>
      <c r="U21" s="18"/>
    </row>
    <row r="22" spans="1:24" ht="18" customHeight="1">
      <c r="A22" s="33" t="s">
        <v>23</v>
      </c>
      <c r="B22" s="34"/>
      <c r="C22" s="34"/>
      <c r="D22" s="34"/>
      <c r="E22" s="34"/>
      <c r="F22" s="34"/>
      <c r="G22" s="34"/>
      <c r="H22" s="34"/>
      <c r="I22" s="34"/>
      <c r="J22" s="34"/>
      <c r="K22" s="31"/>
    </row>
    <row r="23" spans="1:24" ht="18" customHeight="1">
      <c r="A23" s="19"/>
      <c r="B23" s="15"/>
      <c r="D23" s="15"/>
      <c r="E23" s="15"/>
      <c r="F23" s="15"/>
      <c r="G23" s="15"/>
      <c r="H23" s="15"/>
      <c r="I23" s="15"/>
      <c r="J23" s="15"/>
      <c r="K23" s="36"/>
    </row>
    <row r="24" spans="1:24" ht="18" customHeight="1">
      <c r="A24" s="238"/>
      <c r="B24" s="239"/>
      <c r="C24" s="240"/>
      <c r="D24" s="240"/>
      <c r="E24" s="240"/>
      <c r="F24" s="240"/>
      <c r="G24" s="240"/>
      <c r="H24" s="240"/>
      <c r="I24" s="240"/>
      <c r="J24" s="240"/>
      <c r="K24" s="241"/>
    </row>
    <row r="25" spans="1:24" s="16" customFormat="1" ht="18" customHeight="1">
      <c r="A25" s="242"/>
      <c r="B25" s="243"/>
      <c r="C25" s="243"/>
      <c r="D25" s="243"/>
      <c r="E25" s="243"/>
      <c r="F25" s="243"/>
      <c r="G25" s="243"/>
      <c r="H25" s="243"/>
      <c r="I25" s="243"/>
      <c r="J25" s="243"/>
      <c r="K25" s="244"/>
      <c r="L25" s="103"/>
      <c r="M25" s="103"/>
      <c r="N25" s="103"/>
      <c r="O25" s="103"/>
      <c r="P25" s="103"/>
      <c r="Q25" s="103"/>
      <c r="R25" s="103"/>
      <c r="S25" s="103"/>
      <c r="T25" s="103"/>
      <c r="V25" s="14"/>
    </row>
    <row r="26" spans="1:24" s="16" customFormat="1" ht="18" customHeight="1">
      <c r="A26" s="37" t="s">
        <v>25</v>
      </c>
      <c r="B26" s="14"/>
      <c r="C26" s="38" t="s">
        <v>26</v>
      </c>
      <c r="D26" s="14"/>
      <c r="E26" s="14"/>
      <c r="F26" s="14"/>
      <c r="G26" s="14"/>
      <c r="H26" s="38"/>
      <c r="I26" s="38" t="s">
        <v>27</v>
      </c>
      <c r="J26" s="14"/>
      <c r="K26" s="14"/>
      <c r="L26" s="103"/>
      <c r="M26" s="103"/>
      <c r="N26" s="103"/>
      <c r="O26" s="103"/>
      <c r="P26" s="103"/>
      <c r="Q26" s="103"/>
      <c r="R26" s="103"/>
      <c r="S26" s="103"/>
      <c r="T26" s="103"/>
      <c r="V26" s="14"/>
    </row>
    <row r="27" spans="1:24" s="16" customFormat="1" ht="18" customHeight="1">
      <c r="A27" s="14"/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03"/>
      <c r="M27" s="103"/>
      <c r="N27" s="103"/>
      <c r="O27" s="103"/>
      <c r="P27" s="103"/>
      <c r="Q27" s="103"/>
      <c r="R27" s="103"/>
      <c r="S27" s="103"/>
      <c r="T27" s="103"/>
      <c r="V27" s="14"/>
    </row>
    <row r="28" spans="1:24" s="16" customFormat="1" ht="18" customHeight="1">
      <c r="A28" s="14"/>
      <c r="B28" s="14"/>
      <c r="C28" s="15"/>
      <c r="D28" s="14"/>
      <c r="E28" s="14"/>
      <c r="F28" s="14"/>
      <c r="G28" s="14"/>
      <c r="H28" s="14"/>
      <c r="I28" s="14"/>
      <c r="J28" s="14"/>
      <c r="K28" s="14"/>
      <c r="L28" s="103"/>
      <c r="M28" s="103"/>
      <c r="N28" s="103"/>
      <c r="O28" s="103"/>
      <c r="P28" s="103"/>
      <c r="Q28" s="103"/>
      <c r="R28" s="103"/>
      <c r="S28" s="103"/>
      <c r="T28" s="103"/>
      <c r="V28" s="14"/>
    </row>
  </sheetData>
  <sheetProtection algorithmName="SHA-512" hashValue="w+Fkpc5BPNoGYQiaTmUF0/v16TGUvoNsRgcIHiPyJS0mqWWXnG9rb/W1bYv7sbRYeaSQOzwxuFdJYC33A8UKJQ==" saltValue="KjBxTRyN7HUXAztcR1X1Cw==" spinCount="100000" sheet="1" objects="1" scenarios="1"/>
  <mergeCells count="41">
    <mergeCell ref="A24:K25"/>
    <mergeCell ref="B16:B17"/>
    <mergeCell ref="H16:I16"/>
    <mergeCell ref="N16:O16"/>
    <mergeCell ref="H17:I17"/>
    <mergeCell ref="N17:O17"/>
    <mergeCell ref="B18:B21"/>
    <mergeCell ref="H18:I18"/>
    <mergeCell ref="N18:O18"/>
    <mergeCell ref="H21:I21"/>
    <mergeCell ref="N21:O21"/>
    <mergeCell ref="H12:I12"/>
    <mergeCell ref="N12:O12"/>
    <mergeCell ref="B13:B15"/>
    <mergeCell ref="H13:I13"/>
    <mergeCell ref="N13:O13"/>
    <mergeCell ref="H14:I14"/>
    <mergeCell ref="H15:I15"/>
    <mergeCell ref="N15:O15"/>
    <mergeCell ref="N14:O14"/>
    <mergeCell ref="N6:O6"/>
    <mergeCell ref="A7:A21"/>
    <mergeCell ref="B7:B9"/>
    <mergeCell ref="H7:I7"/>
    <mergeCell ref="N7:O7"/>
    <mergeCell ref="H8:I8"/>
    <mergeCell ref="N8:O8"/>
    <mergeCell ref="H9:I9"/>
    <mergeCell ref="N9:O9"/>
    <mergeCell ref="B10:B11"/>
    <mergeCell ref="E6:G6"/>
    <mergeCell ref="H6:I6"/>
    <mergeCell ref="H10:I10"/>
    <mergeCell ref="N10:O10"/>
    <mergeCell ref="H11:I11"/>
    <mergeCell ref="N11:O11"/>
    <mergeCell ref="A1:K1"/>
    <mergeCell ref="A2:K2"/>
    <mergeCell ref="B3:K3"/>
    <mergeCell ref="B4:K4"/>
    <mergeCell ref="B5:K5"/>
  </mergeCells>
  <phoneticPr fontId="18" type="noConversion"/>
  <conditionalFormatting sqref="K7:K21">
    <cfRule type="containsText" dxfId="37" priority="6" operator="containsText" text="NG">
      <formula>NOT(ISERROR(SEARCH("NG",K7)))</formula>
    </cfRule>
  </conditionalFormatting>
  <conditionalFormatting sqref="L10">
    <cfRule type="containsText" dxfId="36" priority="5" operator="containsText" text="NG">
      <formula>NOT(ISERROR(SEARCH("NG",L10)))</formula>
    </cfRule>
  </conditionalFormatting>
  <conditionalFormatting sqref="L12:L16">
    <cfRule type="containsText" dxfId="35" priority="4" operator="containsText" text="NG">
      <formula>NOT(ISERROR(SEARCH("NG",L12)))</formula>
    </cfRule>
  </conditionalFormatting>
  <conditionalFormatting sqref="L18:L19">
    <cfRule type="containsText" dxfId="34" priority="3" operator="containsText" text="NG">
      <formula>NOT(ISERROR(SEARCH("NG",L18)))</formula>
    </cfRule>
  </conditionalFormatting>
  <conditionalFormatting sqref="L7:M7 L21:M21">
    <cfRule type="containsText" dxfId="33" priority="7" operator="containsText" text="NG">
      <formula>NOT(ISERROR(SEARCH("NG",L7)))</formula>
    </cfRule>
  </conditionalFormatting>
  <conditionalFormatting sqref="M8:M20">
    <cfRule type="containsText" dxfId="32" priority="2" operator="containsText" text="NG">
      <formula>NOT(ISERROR(SEARCH("NG",M8)))</formula>
    </cfRule>
  </conditionalFormatting>
  <conditionalFormatting sqref="Q7:R21">
    <cfRule type="containsText" dxfId="31" priority="1" operator="containsText" text="NG">
      <formula>NOT(ISERROR(SEARCH("NG",Q7)))</formula>
    </cfRule>
  </conditionalFormatting>
  <conditionalFormatting sqref="T7:T21">
    <cfRule type="containsText" dxfId="30" priority="8" operator="containsText" text="NG">
      <formula>NOT(ISERROR(SEARCH("NG",T7)))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ED09-12B8-4135-BDE7-BF6E623FC391}">
  <sheetPr>
    <tabColor rgb="FF0070C0"/>
    <pageSetUpPr fitToPage="1"/>
  </sheetPr>
  <dimension ref="A1:V27"/>
  <sheetViews>
    <sheetView showGridLines="0" zoomScale="40" zoomScaleNormal="40" workbookViewId="0">
      <selection activeCell="M20" sqref="M20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11.125" style="14" customWidth="1"/>
    <col min="10" max="11" width="21.625" style="14" customWidth="1"/>
    <col min="12" max="12" width="21.625" style="103" customWidth="1"/>
    <col min="13" max="13" width="50.625" style="103" customWidth="1"/>
    <col min="14" max="15" width="11.125" style="103" customWidth="1"/>
    <col min="16" max="17" width="21.625" style="103" customWidth="1"/>
    <col min="18" max="18" width="30.625" style="103" customWidth="1"/>
    <col min="19" max="20" width="21.625" style="103" customWidth="1"/>
    <col min="21" max="21" width="21.625" style="17" customWidth="1"/>
    <col min="22" max="22" width="30.625" style="15" customWidth="1"/>
    <col min="23" max="24" width="30.625" style="17" customWidth="1"/>
    <col min="25" max="16384" width="9" style="17"/>
  </cols>
  <sheetData>
    <row r="1" spans="1:21" ht="27.75" customHeight="1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21" ht="50.25">
      <c r="A2" s="201" t="s">
        <v>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1" ht="35.1" customHeight="1">
      <c r="A3" s="18" t="s">
        <v>1</v>
      </c>
      <c r="B3" s="251" t="s">
        <v>214</v>
      </c>
      <c r="C3" s="251"/>
      <c r="D3" s="251"/>
      <c r="E3" s="251"/>
      <c r="F3" s="251"/>
      <c r="G3" s="251"/>
      <c r="H3" s="251"/>
      <c r="I3" s="251"/>
      <c r="J3" s="251"/>
      <c r="K3" s="251"/>
    </row>
    <row r="4" spans="1:21" ht="35.1" customHeight="1">
      <c r="A4" s="18" t="s">
        <v>2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</row>
    <row r="5" spans="1:21" ht="35.1" customHeight="1">
      <c r="A5" s="18" t="s">
        <v>3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17"/>
      <c r="M5" s="17"/>
      <c r="N5" s="163" t="s">
        <v>206</v>
      </c>
      <c r="O5" s="164"/>
      <c r="P5" s="164"/>
      <c r="Q5" s="164"/>
      <c r="R5" s="17"/>
      <c r="S5" s="17"/>
      <c r="T5" s="17"/>
    </row>
    <row r="6" spans="1:21" ht="35.1" customHeight="1">
      <c r="A6" s="18" t="s">
        <v>1</v>
      </c>
      <c r="B6" s="18" t="s">
        <v>4</v>
      </c>
      <c r="C6" s="20" t="s">
        <v>5</v>
      </c>
      <c r="D6" s="20" t="s">
        <v>6</v>
      </c>
      <c r="E6" s="255" t="s">
        <v>7</v>
      </c>
      <c r="F6" s="255"/>
      <c r="G6" s="255"/>
      <c r="H6" s="253" t="s">
        <v>8</v>
      </c>
      <c r="I6" s="254"/>
      <c r="J6" s="20" t="s">
        <v>9</v>
      </c>
      <c r="K6" s="20" t="s">
        <v>10</v>
      </c>
      <c r="L6" s="1" t="s">
        <v>11</v>
      </c>
      <c r="M6" s="2" t="s">
        <v>13</v>
      </c>
      <c r="N6" s="253" t="s">
        <v>8</v>
      </c>
      <c r="O6" s="254"/>
      <c r="P6" s="20" t="s">
        <v>9</v>
      </c>
      <c r="Q6" s="47" t="s">
        <v>10</v>
      </c>
      <c r="R6" s="2" t="s">
        <v>12</v>
      </c>
      <c r="S6" s="2" t="s">
        <v>14</v>
      </c>
      <c r="T6" s="2" t="s">
        <v>15</v>
      </c>
      <c r="U6" s="150" t="s">
        <v>171</v>
      </c>
    </row>
    <row r="7" spans="1:21" ht="60" customHeight="1">
      <c r="A7" s="208" t="s">
        <v>257</v>
      </c>
      <c r="B7" s="255" t="s">
        <v>28</v>
      </c>
      <c r="C7" s="18" t="s">
        <v>29</v>
      </c>
      <c r="D7" s="18" t="s">
        <v>30</v>
      </c>
      <c r="E7" s="23">
        <v>18</v>
      </c>
      <c r="F7" s="24" t="s">
        <v>19</v>
      </c>
      <c r="G7" s="25">
        <v>22</v>
      </c>
      <c r="H7" s="256"/>
      <c r="I7" s="257"/>
      <c r="J7" s="142" t="str">
        <f>IF(H7="","",(1.12*H7*F值!$B$4)*2)</f>
        <v/>
      </c>
      <c r="K7" s="25" t="str">
        <f>IF(J7="","",IF(OR(J7&lt;E7,J7&gt;G7),"NG","OK"))</f>
        <v/>
      </c>
      <c r="L7" s="2" t="str">
        <f>IF(J7="","",IF(J7&lt;T7,"添加",IF(J7&gt;U7,"稀釋","")))</f>
        <v/>
      </c>
      <c r="M7" s="172" t="str">
        <f>IFERROR(IF(J7&lt;T7,"KOH："&amp;ROUND(((T7-J7)*S7/0.6525/1000),1)&amp;" L",IF(J7&gt;U7,"排藥："&amp;ROUND((J7-U7)/J7*S7,1)&amp;" L"&amp;"
補水："&amp;ROUND((J7-U7)/J7*S7,1)&amp;" L","")),"")</f>
        <v/>
      </c>
      <c r="N7" s="256"/>
      <c r="O7" s="257"/>
      <c r="P7" s="142" t="str">
        <f>IF(N7="","",(1.12*N7*F值!$B$4)*2)</f>
        <v/>
      </c>
      <c r="Q7" s="18" t="str">
        <f>IF(P7="","",IF(OR(P7&lt;E7,P7&gt;G7),"NG","OK"))</f>
        <v/>
      </c>
      <c r="R7" s="4" t="s">
        <v>173</v>
      </c>
      <c r="S7" s="2">
        <v>1000</v>
      </c>
      <c r="T7" s="2">
        <v>20</v>
      </c>
      <c r="U7" s="18">
        <v>22</v>
      </c>
    </row>
    <row r="8" spans="1:21" ht="60" customHeight="1">
      <c r="A8" s="209"/>
      <c r="B8" s="255"/>
      <c r="C8" s="26" t="s">
        <v>47</v>
      </c>
      <c r="D8" s="27" t="s">
        <v>31</v>
      </c>
      <c r="E8" s="28">
        <v>7</v>
      </c>
      <c r="F8" s="24" t="s">
        <v>19</v>
      </c>
      <c r="G8" s="29">
        <v>9</v>
      </c>
      <c r="H8" s="249" t="s">
        <v>34</v>
      </c>
      <c r="I8" s="250"/>
      <c r="J8" s="143"/>
      <c r="K8" s="25" t="str">
        <f t="shared" ref="K8:K20" si="0">IF(J8="","",IF(OR(J8&lt;E8,J8&gt;G8),"NG","OK"))</f>
        <v/>
      </c>
      <c r="L8" s="22" t="str">
        <f>IF(J8="","",IF(J8&gt;U8,"更槽",""))</f>
        <v/>
      </c>
      <c r="M8" s="172"/>
      <c r="N8" s="249" t="s">
        <v>34</v>
      </c>
      <c r="O8" s="250"/>
      <c r="P8" s="143"/>
      <c r="Q8" s="18" t="str">
        <f t="shared" ref="Q8:Q20" si="1">IF(P8="","",IF(OR(P8&lt;E8,P8&gt;G8),"NG","OK"))</f>
        <v/>
      </c>
      <c r="R8" s="2" t="s">
        <v>172</v>
      </c>
      <c r="S8" s="2">
        <v>1000</v>
      </c>
      <c r="T8" s="2" t="s">
        <v>100</v>
      </c>
      <c r="U8" s="18" t="s">
        <v>100</v>
      </c>
    </row>
    <row r="9" spans="1:21" ht="60" customHeight="1">
      <c r="A9" s="209"/>
      <c r="B9" s="255"/>
      <c r="C9" s="18" t="s">
        <v>32</v>
      </c>
      <c r="D9" s="27" t="s">
        <v>33</v>
      </c>
      <c r="E9" s="28">
        <v>12.8</v>
      </c>
      <c r="F9" s="24" t="s">
        <v>19</v>
      </c>
      <c r="G9" s="29">
        <v>13.8</v>
      </c>
      <c r="H9" s="249" t="s">
        <v>34</v>
      </c>
      <c r="I9" s="250"/>
      <c r="J9" s="143"/>
      <c r="K9" s="25" t="str">
        <f t="shared" si="0"/>
        <v/>
      </c>
      <c r="L9" s="22" t="str">
        <f>IF(J9="","",IF(J9&gt;U9,"更槽",""))</f>
        <v/>
      </c>
      <c r="M9" s="172"/>
      <c r="N9" s="249" t="s">
        <v>34</v>
      </c>
      <c r="O9" s="250"/>
      <c r="P9" s="143"/>
      <c r="Q9" s="18" t="str">
        <f t="shared" si="1"/>
        <v/>
      </c>
      <c r="R9" s="2" t="s">
        <v>172</v>
      </c>
      <c r="S9" s="2">
        <v>1000</v>
      </c>
      <c r="T9" s="2" t="s">
        <v>100</v>
      </c>
      <c r="U9" s="18" t="s">
        <v>100</v>
      </c>
    </row>
    <row r="10" spans="1:21" ht="60" customHeight="1">
      <c r="A10" s="209"/>
      <c r="B10" s="255" t="s">
        <v>48</v>
      </c>
      <c r="C10" s="26" t="s">
        <v>35</v>
      </c>
      <c r="D10" s="27" t="s">
        <v>36</v>
      </c>
      <c r="E10" s="28">
        <v>135</v>
      </c>
      <c r="F10" s="24" t="s">
        <v>19</v>
      </c>
      <c r="G10" s="29">
        <v>165</v>
      </c>
      <c r="H10" s="247"/>
      <c r="I10" s="248"/>
      <c r="J10" s="138" t="str">
        <f>IF(H10="","",(11.94*H10*F值!$B$8))</f>
        <v/>
      </c>
      <c r="K10" s="25" t="str">
        <f t="shared" si="0"/>
        <v/>
      </c>
      <c r="L10" s="2" t="str">
        <f>IF(J10="","",IF(J10&lt;T10,"添加",IF(J10&gt;U10,"稀釋","")))</f>
        <v/>
      </c>
      <c r="M10" s="172" t="str">
        <f>IFERROR(IF(J10&lt;T10,"P200："&amp;ROUND(((T10-J10)*S10/1000),1)&amp;" L",IF(J10&gt;U10,"排藥："&amp;ROUND((J10-U10)/J10*S10,1)&amp;" L"&amp;"
補水："&amp;ROUND((J10-U10)/J10*S10,1)&amp;" L","")),"")</f>
        <v/>
      </c>
      <c r="N10" s="247"/>
      <c r="O10" s="248"/>
      <c r="P10" s="138" t="str">
        <f>IF(N10="","",(11.94*N10*F值!$B$8))</f>
        <v/>
      </c>
      <c r="Q10" s="18" t="str">
        <f t="shared" si="1"/>
        <v/>
      </c>
      <c r="R10" s="4" t="s">
        <v>178</v>
      </c>
      <c r="S10" s="2">
        <v>600</v>
      </c>
      <c r="T10" s="2">
        <v>150</v>
      </c>
      <c r="U10" s="18">
        <v>165</v>
      </c>
    </row>
    <row r="11" spans="1:21" ht="60" customHeight="1">
      <c r="A11" s="209"/>
      <c r="B11" s="255"/>
      <c r="C11" s="18" t="s">
        <v>32</v>
      </c>
      <c r="D11" s="27" t="s">
        <v>49</v>
      </c>
      <c r="E11" s="28">
        <v>9.5</v>
      </c>
      <c r="F11" s="24" t="s">
        <v>19</v>
      </c>
      <c r="G11" s="29">
        <v>11</v>
      </c>
      <c r="H11" s="249" t="s">
        <v>34</v>
      </c>
      <c r="I11" s="250"/>
      <c r="J11" s="143"/>
      <c r="K11" s="25" t="str">
        <f t="shared" si="0"/>
        <v/>
      </c>
      <c r="L11" s="22" t="str">
        <f>IF(J11="","",IF(J11&gt;U11,"更槽",""))</f>
        <v/>
      </c>
      <c r="M11" s="172"/>
      <c r="N11" s="249" t="s">
        <v>34</v>
      </c>
      <c r="O11" s="250"/>
      <c r="P11" s="143"/>
      <c r="Q11" s="18" t="str">
        <f t="shared" si="1"/>
        <v/>
      </c>
      <c r="R11" s="2" t="s">
        <v>172</v>
      </c>
      <c r="S11" s="2">
        <v>600</v>
      </c>
      <c r="T11" s="2" t="s">
        <v>100</v>
      </c>
      <c r="U11" s="18" t="s">
        <v>100</v>
      </c>
    </row>
    <row r="12" spans="1:21" ht="60" customHeight="1">
      <c r="A12" s="209"/>
      <c r="B12" s="20" t="s">
        <v>50</v>
      </c>
      <c r="C12" s="26" t="s">
        <v>51</v>
      </c>
      <c r="D12" s="27" t="s">
        <v>52</v>
      </c>
      <c r="E12" s="28">
        <v>240</v>
      </c>
      <c r="F12" s="24" t="s">
        <v>19</v>
      </c>
      <c r="G12" s="29">
        <v>280</v>
      </c>
      <c r="H12" s="247"/>
      <c r="I12" s="248"/>
      <c r="J12" s="138" t="str">
        <f>IF(H12="","",42.14*H12*F值!$B$3)</f>
        <v/>
      </c>
      <c r="K12" s="25" t="str">
        <f t="shared" si="0"/>
        <v/>
      </c>
      <c r="L12" s="2" t="str">
        <f>IF(J12&gt;T12,"","添加")</f>
        <v/>
      </c>
      <c r="M12" s="173" t="str">
        <f>IFERROR(IF(J12&lt;T12,"P300："&amp;ROUND(((T12-J12)*S12/1000),1)&amp;" L",IF(J12&gt;U12,"排藥："&amp;ROUND((J12-U12)/J12*S12,1)&amp;" L"&amp;"
補水："&amp;ROUND((J12-U12)/J12*S12,1)&amp;" L","")),"")</f>
        <v/>
      </c>
      <c r="N12" s="247"/>
      <c r="O12" s="248"/>
      <c r="P12" s="138" t="str">
        <f>IF(N12="","",42.14*N12*F值!$B$3)</f>
        <v/>
      </c>
      <c r="Q12" s="18" t="str">
        <f t="shared" si="1"/>
        <v/>
      </c>
      <c r="R12" s="4" t="s">
        <v>196</v>
      </c>
      <c r="S12" s="2">
        <v>250</v>
      </c>
      <c r="T12" s="2">
        <v>260</v>
      </c>
      <c r="U12" s="18">
        <v>280</v>
      </c>
    </row>
    <row r="13" spans="1:21" ht="60" customHeight="1">
      <c r="A13" s="209"/>
      <c r="B13" s="255" t="s">
        <v>53</v>
      </c>
      <c r="C13" s="26" t="s">
        <v>54</v>
      </c>
      <c r="D13" s="27" t="s">
        <v>55</v>
      </c>
      <c r="E13" s="28">
        <v>30</v>
      </c>
      <c r="F13" s="24" t="s">
        <v>19</v>
      </c>
      <c r="G13" s="145">
        <v>999</v>
      </c>
      <c r="H13" s="247"/>
      <c r="I13" s="248"/>
      <c r="J13" s="138" t="str">
        <f>IF(H13="","",(H13*195.7)+1.7752)</f>
        <v/>
      </c>
      <c r="K13" s="25" t="str">
        <f t="shared" si="0"/>
        <v/>
      </c>
      <c r="L13" s="2" t="str">
        <f>IF(J13="","",IF(J13&lt;T13,"添加",IF(J13&gt;U13,"稀釋","")))</f>
        <v/>
      </c>
      <c r="M13" s="172" t="str">
        <f>IFERROR(IF(J13&lt;T13,"P400："&amp;ROUND(((T13-J13)*S13/1000),1)&amp;" L",IF(J13&gt;U13,"排藥："&amp;ROUND((J13-U13)/J13*S13,1)&amp;" L"&amp;"
補水："&amp;ROUND((J13-U13)/J13*S13,1)&amp;" L","")),"")</f>
        <v/>
      </c>
      <c r="N13" s="247"/>
      <c r="O13" s="248"/>
      <c r="P13" s="138" t="str">
        <f>IF(N13="","",(N13*195.7)+1.7752)</f>
        <v/>
      </c>
      <c r="Q13" s="18" t="str">
        <f t="shared" si="1"/>
        <v/>
      </c>
      <c r="R13" s="4" t="s">
        <v>174</v>
      </c>
      <c r="S13" s="2">
        <v>630</v>
      </c>
      <c r="T13" s="2">
        <v>31</v>
      </c>
      <c r="U13" s="18" t="s">
        <v>100</v>
      </c>
    </row>
    <row r="14" spans="1:21" ht="60" customHeight="1">
      <c r="A14" s="209"/>
      <c r="B14" s="255"/>
      <c r="C14" s="26" t="s">
        <v>37</v>
      </c>
      <c r="D14" s="27" t="s">
        <v>56</v>
      </c>
      <c r="E14" s="28">
        <v>5</v>
      </c>
      <c r="F14" s="24" t="s">
        <v>19</v>
      </c>
      <c r="G14" s="29">
        <v>25</v>
      </c>
      <c r="H14" s="247"/>
      <c r="I14" s="248"/>
      <c r="J14" s="138" t="str">
        <f>IF(H14="","",2.256*H14*F值!$B$9)</f>
        <v/>
      </c>
      <c r="K14" s="25" t="str">
        <f t="shared" si="0"/>
        <v/>
      </c>
      <c r="L14" s="2" t="str">
        <f t="shared" ref="L14:L15" si="2">IF(J14="","",IF(J14&lt;T14,"添加",IF(J14&gt;U14,"稀釋","")))</f>
        <v/>
      </c>
      <c r="M14" s="172" t="str">
        <f>IFERROR(IF(J14&lt;T14,"安定劑："&amp;ROUND(((T14-J14)*S14/1000),1)&amp;" L",IF(J14&gt;U14,"排藥："&amp;ROUND((J14-U14)/J14*S14,1)&amp;" L"&amp;"
補水："&amp;ROUND((J14-U14)/J14*S14,1)&amp;" L","")),"")</f>
        <v/>
      </c>
      <c r="N14" s="247"/>
      <c r="O14" s="248"/>
      <c r="P14" s="138" t="str">
        <f>IF(N14="","",2.256*N14*F值!$B$9)</f>
        <v/>
      </c>
      <c r="Q14" s="18" t="str">
        <f t="shared" si="1"/>
        <v/>
      </c>
      <c r="R14" s="2" t="s">
        <v>175</v>
      </c>
      <c r="S14" s="2">
        <v>630</v>
      </c>
      <c r="T14" s="2">
        <v>5</v>
      </c>
      <c r="U14" s="18" t="s">
        <v>100</v>
      </c>
    </row>
    <row r="15" spans="1:21" ht="60" customHeight="1">
      <c r="A15" s="209"/>
      <c r="B15" s="255" t="s">
        <v>38</v>
      </c>
      <c r="C15" s="26" t="s">
        <v>39</v>
      </c>
      <c r="D15" s="27" t="s">
        <v>40</v>
      </c>
      <c r="E15" s="28">
        <v>90</v>
      </c>
      <c r="F15" s="24" t="s">
        <v>19</v>
      </c>
      <c r="G15" s="29">
        <v>110</v>
      </c>
      <c r="H15" s="247"/>
      <c r="I15" s="248"/>
      <c r="J15" s="138" t="str">
        <f>IF(H15="","",7.24*H15*F值!$B$3)</f>
        <v/>
      </c>
      <c r="K15" s="25" t="str">
        <f t="shared" si="0"/>
        <v/>
      </c>
      <c r="L15" s="2" t="str">
        <f t="shared" si="2"/>
        <v/>
      </c>
      <c r="M15" s="172" t="str">
        <f>IFERROR(IF(J15&lt;T15,"P500A："&amp;ROUND(((T15-J15)*S15/1000),1)&amp;" L",IF(J15&gt;U15,"排藥："&amp;ROUND((J15-U15)/J15*S15,1)&amp;" L"&amp;"
補水："&amp;ROUND((J15-U15)/J15*S15,1)&amp;" L","")),"")</f>
        <v/>
      </c>
      <c r="N15" s="247"/>
      <c r="O15" s="248"/>
      <c r="P15" s="138" t="str">
        <f>IF(N15="","",7.24*N15*F值!$B$3)</f>
        <v/>
      </c>
      <c r="Q15" s="18" t="str">
        <f t="shared" si="1"/>
        <v/>
      </c>
      <c r="R15" s="4" t="s">
        <v>194</v>
      </c>
      <c r="S15" s="2">
        <v>600</v>
      </c>
      <c r="T15" s="2">
        <v>100</v>
      </c>
      <c r="U15" s="18">
        <v>110</v>
      </c>
    </row>
    <row r="16" spans="1:21" ht="60" customHeight="1">
      <c r="A16" s="209"/>
      <c r="B16" s="255"/>
      <c r="C16" s="26" t="s">
        <v>37</v>
      </c>
      <c r="D16" s="26" t="s">
        <v>41</v>
      </c>
      <c r="E16" s="137">
        <v>0</v>
      </c>
      <c r="F16" s="24" t="s">
        <v>19</v>
      </c>
      <c r="G16" s="29">
        <v>0.3</v>
      </c>
      <c r="H16" s="247"/>
      <c r="I16" s="248"/>
      <c r="J16" s="138" t="str">
        <f>IF(H16="","",2.256*H16*F值!$B$9)</f>
        <v/>
      </c>
      <c r="K16" s="25" t="str">
        <f t="shared" si="0"/>
        <v/>
      </c>
      <c r="L16" s="22" t="str">
        <f>IF(J16="","",IF(J16&gt;U16,"更槽",""))</f>
        <v/>
      </c>
      <c r="M16" s="172"/>
      <c r="N16" s="247"/>
      <c r="O16" s="248"/>
      <c r="P16" s="138" t="str">
        <f>IF(N16="","",2.256*N16*F值!$B$9)</f>
        <v/>
      </c>
      <c r="Q16" s="18" t="str">
        <f t="shared" si="1"/>
        <v/>
      </c>
      <c r="R16" s="4" t="s">
        <v>195</v>
      </c>
      <c r="S16" s="2">
        <v>600</v>
      </c>
      <c r="T16" s="2" t="s">
        <v>100</v>
      </c>
      <c r="U16" s="18" t="s">
        <v>100</v>
      </c>
    </row>
    <row r="17" spans="1:22" ht="60" customHeight="1">
      <c r="A17" s="209"/>
      <c r="B17" s="255" t="s">
        <v>57</v>
      </c>
      <c r="C17" s="26" t="s">
        <v>42</v>
      </c>
      <c r="D17" s="27" t="s">
        <v>43</v>
      </c>
      <c r="E17" s="28">
        <v>4.5999999999999996</v>
      </c>
      <c r="F17" s="24" t="s">
        <v>19</v>
      </c>
      <c r="G17" s="29">
        <v>5</v>
      </c>
      <c r="H17" s="247"/>
      <c r="I17" s="248"/>
      <c r="J17" s="138" t="str">
        <f>IF(H17="","",0.59*H17*F值!$B$6)</f>
        <v/>
      </c>
      <c r="K17" s="25" t="str">
        <f t="shared" si="0"/>
        <v/>
      </c>
      <c r="L17" s="2" t="str">
        <f t="shared" ref="L17:L18" si="3">IF(J17="","",IF(J17&lt;T17,"添加",IF(J17&gt;U17,"稀釋","")))</f>
        <v/>
      </c>
      <c r="M17" s="172" t="str">
        <f>IFERROR(IF(J17&lt;T17,"A劑："&amp;ROUND(((T17-J17)*S17*9.2/1000),1)&amp;" L",IF(J17&gt;U17,"排藥："&amp;ROUND((J17-U17)/J17*S17,1)&amp;" L"&amp;"
補水："&amp;ROUND((J17-U17)/J17*S17,1)&amp;" L","")),"")</f>
        <v/>
      </c>
      <c r="N17" s="247"/>
      <c r="O17" s="248"/>
      <c r="P17" s="138" t="str">
        <f>IF(N17="","",0.59*N17*F值!$B$6)</f>
        <v/>
      </c>
      <c r="Q17" s="18" t="str">
        <f t="shared" si="1"/>
        <v/>
      </c>
      <c r="R17" s="4" t="s">
        <v>179</v>
      </c>
      <c r="S17" s="2">
        <v>1200</v>
      </c>
      <c r="T17" s="2">
        <v>4.8</v>
      </c>
      <c r="U17" s="18">
        <v>5</v>
      </c>
    </row>
    <row r="18" spans="1:22" ht="60" customHeight="1">
      <c r="A18" s="209"/>
      <c r="B18" s="255"/>
      <c r="C18" s="104" t="s">
        <v>58</v>
      </c>
      <c r="D18" s="27" t="s">
        <v>44</v>
      </c>
      <c r="E18" s="28">
        <v>17</v>
      </c>
      <c r="F18" s="24" t="s">
        <v>19</v>
      </c>
      <c r="G18" s="29">
        <v>20</v>
      </c>
      <c r="H18" s="169"/>
      <c r="I18" s="113"/>
      <c r="J18" s="143" t="str">
        <f>IF(I18="","",(H18-I18)*2.65)</f>
        <v/>
      </c>
      <c r="K18" s="25" t="str">
        <f t="shared" si="0"/>
        <v/>
      </c>
      <c r="L18" s="2" t="str">
        <f t="shared" si="3"/>
        <v/>
      </c>
      <c r="M18" s="172" t="str">
        <f>IF(J18&lt;T18,"A劑："&amp;ROUND(((T18-J18)*S18*1.62/1000),1)&amp;" L",IF(J18&gt;U18,"排藥："&amp;ROUND((J18-U18)/J18*S18,1)&amp;" L"&amp;"
補水："&amp;ROUND((J18-U18)/J18*S18,1)&amp;" L",""))</f>
        <v/>
      </c>
      <c r="N18" s="169"/>
      <c r="O18" s="113"/>
      <c r="P18" s="143" t="str">
        <f>IF(O18="","",(N18-O18)*2.65)</f>
        <v/>
      </c>
      <c r="Q18" s="18" t="str">
        <f t="shared" si="1"/>
        <v/>
      </c>
      <c r="R18" s="4" t="s">
        <v>176</v>
      </c>
      <c r="S18" s="2">
        <v>1200</v>
      </c>
      <c r="T18" s="2">
        <v>18.5</v>
      </c>
      <c r="U18" s="18" t="s">
        <v>100</v>
      </c>
      <c r="V18" s="14"/>
    </row>
    <row r="19" spans="1:22" ht="60" customHeight="1">
      <c r="A19" s="209"/>
      <c r="B19" s="255"/>
      <c r="C19" s="105" t="s">
        <v>59</v>
      </c>
      <c r="D19" s="26" t="s">
        <v>45</v>
      </c>
      <c r="E19" s="23">
        <v>0</v>
      </c>
      <c r="F19" s="24" t="s">
        <v>19</v>
      </c>
      <c r="G19" s="25">
        <v>100</v>
      </c>
      <c r="H19" s="168"/>
      <c r="I19" s="113"/>
      <c r="J19" s="143" t="str">
        <f>IF(I19="","",(H19-I19)*10.8)</f>
        <v/>
      </c>
      <c r="K19" s="25" t="str">
        <f t="shared" si="0"/>
        <v/>
      </c>
      <c r="L19" s="22" t="str">
        <f>IF(J19="","",IF(J19&gt;U19,"更槽",""))</f>
        <v/>
      </c>
      <c r="M19" s="172"/>
      <c r="N19" s="168"/>
      <c r="O19" s="113"/>
      <c r="P19" s="143" t="str">
        <f>IF(O19="","",(N19-O19)*10.8)</f>
        <v/>
      </c>
      <c r="Q19" s="18" t="str">
        <f t="shared" si="1"/>
        <v/>
      </c>
      <c r="R19" s="4" t="s">
        <v>197</v>
      </c>
      <c r="S19" s="2">
        <v>1200</v>
      </c>
      <c r="T19" s="2" t="s">
        <v>100</v>
      </c>
      <c r="U19" s="18" t="s">
        <v>100</v>
      </c>
      <c r="V19" s="14"/>
    </row>
    <row r="20" spans="1:22" ht="60" customHeight="1">
      <c r="A20" s="209"/>
      <c r="B20" s="255"/>
      <c r="C20" s="18" t="s">
        <v>32</v>
      </c>
      <c r="D20" s="18" t="s">
        <v>46</v>
      </c>
      <c r="E20" s="23">
        <v>8.3000000000000007</v>
      </c>
      <c r="F20" s="24" t="s">
        <v>19</v>
      </c>
      <c r="G20" s="25">
        <v>8.6999999999999993</v>
      </c>
      <c r="H20" s="249" t="s">
        <v>34</v>
      </c>
      <c r="I20" s="250"/>
      <c r="J20" s="144"/>
      <c r="K20" s="25" t="str">
        <f t="shared" si="0"/>
        <v/>
      </c>
      <c r="L20" s="2" t="str">
        <f>IF(J20="","",IF(J20&gt;T20,"","添加"))</f>
        <v/>
      </c>
      <c r="M20" s="172" t="str">
        <f>IF(J20="","",IF(J20&lt;T20,"氨水："&amp;ROUND(((T20-J20)*S20*16.5/1000),1)&amp;" L",""))</f>
        <v/>
      </c>
      <c r="N20" s="249" t="s">
        <v>34</v>
      </c>
      <c r="O20" s="250"/>
      <c r="P20" s="144"/>
      <c r="Q20" s="18" t="str">
        <f t="shared" si="1"/>
        <v/>
      </c>
      <c r="R20" s="4" t="s">
        <v>177</v>
      </c>
      <c r="S20" s="2">
        <v>1200</v>
      </c>
      <c r="T20" s="2">
        <v>8.5</v>
      </c>
      <c r="U20" s="18" t="s">
        <v>100</v>
      </c>
    </row>
    <row r="21" spans="1:22" ht="18" customHeight="1">
      <c r="A21" s="33" t="s">
        <v>23</v>
      </c>
      <c r="B21" s="34"/>
      <c r="C21" s="34"/>
      <c r="D21" s="34"/>
      <c r="E21" s="34"/>
      <c r="F21" s="34"/>
      <c r="G21" s="34"/>
      <c r="H21" s="34"/>
      <c r="I21" s="34"/>
      <c r="J21" s="34"/>
      <c r="K21" s="31"/>
    </row>
    <row r="22" spans="1:22" ht="18" customHeight="1">
      <c r="A22" s="19"/>
      <c r="B22" s="15"/>
      <c r="D22" s="15"/>
      <c r="E22" s="15"/>
      <c r="F22" s="15"/>
      <c r="G22" s="15"/>
      <c r="H22" s="15"/>
      <c r="I22" s="15"/>
      <c r="J22" s="15"/>
      <c r="K22" s="36"/>
    </row>
    <row r="23" spans="1:22" ht="18" customHeight="1">
      <c r="A23" s="238"/>
      <c r="B23" s="239"/>
      <c r="C23" s="240"/>
      <c r="D23" s="240"/>
      <c r="E23" s="240"/>
      <c r="F23" s="240"/>
      <c r="G23" s="240"/>
      <c r="H23" s="240"/>
      <c r="I23" s="240"/>
      <c r="J23" s="240"/>
      <c r="K23" s="241"/>
    </row>
    <row r="24" spans="1:22" s="16" customFormat="1" ht="18" customHeight="1">
      <c r="A24" s="242"/>
      <c r="B24" s="243"/>
      <c r="C24" s="243"/>
      <c r="D24" s="243"/>
      <c r="E24" s="243"/>
      <c r="F24" s="243"/>
      <c r="G24" s="243"/>
      <c r="H24" s="243"/>
      <c r="I24" s="243"/>
      <c r="J24" s="243"/>
      <c r="K24" s="244"/>
      <c r="L24" s="103"/>
      <c r="M24" s="103"/>
      <c r="N24" s="103"/>
      <c r="O24" s="103"/>
      <c r="P24" s="103"/>
      <c r="Q24" s="103"/>
      <c r="R24" s="103"/>
      <c r="S24" s="103"/>
      <c r="T24" s="103"/>
      <c r="V24" s="14"/>
    </row>
    <row r="25" spans="1:22" s="16" customFormat="1" ht="18" customHeight="1">
      <c r="A25" s="37" t="s">
        <v>25</v>
      </c>
      <c r="B25" s="14"/>
      <c r="C25" s="38" t="s">
        <v>26</v>
      </c>
      <c r="D25" s="14"/>
      <c r="E25" s="14"/>
      <c r="F25" s="14"/>
      <c r="G25" s="14"/>
      <c r="H25" s="38"/>
      <c r="I25" s="38" t="s">
        <v>27</v>
      </c>
      <c r="J25" s="14"/>
      <c r="K25" s="14"/>
      <c r="L25" s="103"/>
      <c r="M25" s="103"/>
      <c r="N25" s="103"/>
      <c r="O25" s="103"/>
      <c r="P25" s="103"/>
      <c r="Q25" s="103"/>
      <c r="R25" s="103"/>
      <c r="S25" s="103"/>
      <c r="T25" s="103"/>
      <c r="V25" s="14"/>
    </row>
    <row r="26" spans="1:22" s="16" customFormat="1" ht="18" customHeight="1">
      <c r="A26" s="14"/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03"/>
      <c r="M26" s="103"/>
      <c r="N26" s="103"/>
      <c r="O26" s="103"/>
      <c r="P26" s="103"/>
      <c r="Q26" s="103"/>
      <c r="R26" s="103"/>
      <c r="S26" s="103"/>
      <c r="T26" s="103"/>
      <c r="V26" s="14"/>
    </row>
    <row r="27" spans="1:22" s="16" customFormat="1" ht="18" customHeight="1">
      <c r="A27" s="14"/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03"/>
      <c r="M27" s="103"/>
      <c r="N27" s="103"/>
      <c r="O27" s="103"/>
      <c r="P27" s="103"/>
      <c r="Q27" s="103"/>
      <c r="R27" s="103"/>
      <c r="S27" s="103"/>
      <c r="T27" s="103"/>
      <c r="V27" s="14"/>
    </row>
  </sheetData>
  <sheetProtection algorithmName="SHA-512" hashValue="I13ZDAquTQbA657e/9bPrrYNgw+rzI9VTCACPjzPj6iYPrg3JRQN/xijq/z+KtrNHRz16kJhO9rtxD37+Nm/3A==" saltValue="ghPaz0gmh9uOsKsSVX1BTQ==" spinCount="100000" sheet="1" objects="1" scenarios="1"/>
  <mergeCells count="39">
    <mergeCell ref="H11:I11"/>
    <mergeCell ref="N11:O11"/>
    <mergeCell ref="A1:K1"/>
    <mergeCell ref="A2:K2"/>
    <mergeCell ref="B3:K3"/>
    <mergeCell ref="B4:K4"/>
    <mergeCell ref="B5:K5"/>
    <mergeCell ref="H17:I17"/>
    <mergeCell ref="N17:O17"/>
    <mergeCell ref="N6:O6"/>
    <mergeCell ref="A7:A20"/>
    <mergeCell ref="B7:B9"/>
    <mergeCell ref="H7:I7"/>
    <mergeCell ref="N7:O7"/>
    <mergeCell ref="H8:I8"/>
    <mergeCell ref="N8:O8"/>
    <mergeCell ref="H9:I9"/>
    <mergeCell ref="N9:O9"/>
    <mergeCell ref="B10:B11"/>
    <mergeCell ref="E6:G6"/>
    <mergeCell ref="H6:I6"/>
    <mergeCell ref="H10:I10"/>
    <mergeCell ref="N10:O10"/>
    <mergeCell ref="H20:I20"/>
    <mergeCell ref="N20:O20"/>
    <mergeCell ref="H12:I12"/>
    <mergeCell ref="N12:O12"/>
    <mergeCell ref="A23:K24"/>
    <mergeCell ref="B13:B14"/>
    <mergeCell ref="H13:I13"/>
    <mergeCell ref="N13:O13"/>
    <mergeCell ref="H14:I14"/>
    <mergeCell ref="N14:O14"/>
    <mergeCell ref="B15:B16"/>
    <mergeCell ref="H15:I15"/>
    <mergeCell ref="N15:O15"/>
    <mergeCell ref="H16:I16"/>
    <mergeCell ref="N16:O16"/>
    <mergeCell ref="B17:B20"/>
  </mergeCells>
  <phoneticPr fontId="18" type="noConversion"/>
  <conditionalFormatting sqref="K7:K20">
    <cfRule type="containsText" dxfId="29" priority="6" operator="containsText" text="NG">
      <formula>NOT(ISERROR(SEARCH("NG",K7)))</formula>
    </cfRule>
  </conditionalFormatting>
  <conditionalFormatting sqref="L10">
    <cfRule type="containsText" dxfId="28" priority="5" operator="containsText" text="NG">
      <formula>NOT(ISERROR(SEARCH("NG",L10)))</formula>
    </cfRule>
  </conditionalFormatting>
  <conditionalFormatting sqref="L12:L15">
    <cfRule type="containsText" dxfId="27" priority="4" operator="containsText" text="NG">
      <formula>NOT(ISERROR(SEARCH("NG",L12)))</formula>
    </cfRule>
  </conditionalFormatting>
  <conditionalFormatting sqref="L17:L18">
    <cfRule type="containsText" dxfId="26" priority="3" operator="containsText" text="NG">
      <formula>NOT(ISERROR(SEARCH("NG",L17)))</formula>
    </cfRule>
  </conditionalFormatting>
  <conditionalFormatting sqref="L7:M7 L20:M20">
    <cfRule type="containsText" dxfId="25" priority="7" operator="containsText" text="NG">
      <formula>NOT(ISERROR(SEARCH("NG",L7)))</formula>
    </cfRule>
  </conditionalFormatting>
  <conditionalFormatting sqref="M8:M19">
    <cfRule type="containsText" dxfId="24" priority="2" operator="containsText" text="NG">
      <formula>NOT(ISERROR(SEARCH("NG",M8)))</formula>
    </cfRule>
  </conditionalFormatting>
  <conditionalFormatting sqref="Q7:R20">
    <cfRule type="containsText" dxfId="23" priority="1" operator="containsText" text="NG">
      <formula>NOT(ISERROR(SEARCH("NG",Q7)))</formula>
    </cfRule>
  </conditionalFormatting>
  <conditionalFormatting sqref="T7:T20">
    <cfRule type="containsText" dxfId="22" priority="8" operator="containsText" text="NG">
      <formula>NOT(ISERROR(SEARCH("NG",T7)))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F33B-590C-40E5-AB2D-79CCC97D0E91}">
  <sheetPr>
    <tabColor rgb="FF0070C0"/>
    <pageSetUpPr fitToPage="1"/>
  </sheetPr>
  <dimension ref="A1:V27"/>
  <sheetViews>
    <sheetView showGridLines="0" zoomScale="40" zoomScaleNormal="40" workbookViewId="0">
      <selection activeCell="M7" sqref="M7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11.125" style="14" customWidth="1"/>
    <col min="10" max="11" width="21.625" style="14" customWidth="1"/>
    <col min="12" max="12" width="21.625" style="103" customWidth="1"/>
    <col min="13" max="13" width="50.625" style="103" customWidth="1"/>
    <col min="14" max="15" width="11.125" style="103" customWidth="1"/>
    <col min="16" max="17" width="21.625" style="103" customWidth="1"/>
    <col min="18" max="18" width="30.625" style="103" customWidth="1"/>
    <col min="19" max="20" width="21.625" style="103" customWidth="1"/>
    <col min="21" max="21" width="21.625" style="17" customWidth="1"/>
    <col min="22" max="22" width="30.625" style="15" customWidth="1"/>
    <col min="23" max="24" width="30.625" style="17" customWidth="1"/>
    <col min="25" max="16384" width="9" style="17"/>
  </cols>
  <sheetData>
    <row r="1" spans="1:21" ht="27.75" customHeight="1">
      <c r="A1" s="200"/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21" ht="50.25">
      <c r="A2" s="201" t="s">
        <v>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21" ht="35.1" customHeight="1">
      <c r="A3" s="18" t="s">
        <v>1</v>
      </c>
      <c r="B3" s="251" t="s">
        <v>214</v>
      </c>
      <c r="C3" s="251"/>
      <c r="D3" s="251"/>
      <c r="E3" s="251"/>
      <c r="F3" s="251"/>
      <c r="G3" s="251"/>
      <c r="H3" s="251"/>
      <c r="I3" s="251"/>
      <c r="J3" s="251"/>
      <c r="K3" s="251"/>
    </row>
    <row r="4" spans="1:21" ht="35.1" customHeight="1">
      <c r="A4" s="18" t="s">
        <v>2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</row>
    <row r="5" spans="1:21" ht="35.1" customHeight="1">
      <c r="A5" s="18" t="s">
        <v>3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17"/>
      <c r="M5" s="17"/>
      <c r="N5" s="163" t="s">
        <v>206</v>
      </c>
      <c r="O5" s="164"/>
      <c r="P5" s="164"/>
      <c r="Q5" s="164"/>
      <c r="R5" s="17"/>
      <c r="S5" s="17"/>
      <c r="T5" s="17"/>
    </row>
    <row r="6" spans="1:21" ht="35.1" customHeight="1">
      <c r="A6" s="18" t="s">
        <v>1</v>
      </c>
      <c r="B6" s="18" t="s">
        <v>4</v>
      </c>
      <c r="C6" s="20" t="s">
        <v>5</v>
      </c>
      <c r="D6" s="20" t="s">
        <v>6</v>
      </c>
      <c r="E6" s="255" t="s">
        <v>7</v>
      </c>
      <c r="F6" s="255"/>
      <c r="G6" s="255"/>
      <c r="H6" s="253" t="s">
        <v>8</v>
      </c>
      <c r="I6" s="254"/>
      <c r="J6" s="20" t="s">
        <v>9</v>
      </c>
      <c r="K6" s="20" t="s">
        <v>10</v>
      </c>
      <c r="L6" s="1" t="s">
        <v>11</v>
      </c>
      <c r="M6" s="2" t="s">
        <v>13</v>
      </c>
      <c r="N6" s="253" t="s">
        <v>8</v>
      </c>
      <c r="O6" s="254"/>
      <c r="P6" s="20" t="s">
        <v>9</v>
      </c>
      <c r="Q6" s="47" t="s">
        <v>10</v>
      </c>
      <c r="R6" s="2" t="s">
        <v>12</v>
      </c>
      <c r="S6" s="2" t="s">
        <v>14</v>
      </c>
      <c r="T6" s="2" t="s">
        <v>15</v>
      </c>
      <c r="U6" s="150" t="s">
        <v>171</v>
      </c>
    </row>
    <row r="7" spans="1:21" ht="60" customHeight="1">
      <c r="A7" s="208" t="s">
        <v>257</v>
      </c>
      <c r="B7" s="255" t="s">
        <v>28</v>
      </c>
      <c r="C7" s="18" t="s">
        <v>29</v>
      </c>
      <c r="D7" s="18" t="s">
        <v>30</v>
      </c>
      <c r="E7" s="23">
        <v>18</v>
      </c>
      <c r="F7" s="24" t="s">
        <v>19</v>
      </c>
      <c r="G7" s="25">
        <v>22</v>
      </c>
      <c r="H7" s="256">
        <v>10</v>
      </c>
      <c r="I7" s="257"/>
      <c r="J7" s="142">
        <f>IF(H7="","",(1.12*H7*F值!$B$4)*2)</f>
        <v>22.400000000000002</v>
      </c>
      <c r="K7" s="25" t="str">
        <f>IF(J7="","",IF(OR(J7&lt;E7,J7&gt;G7),"NG","OK"))</f>
        <v>NG</v>
      </c>
      <c r="L7" s="2" t="str">
        <f>IF(J7="","",IF(J7&lt;T7,"添加",IF(J7&gt;U7,"稀釋","")))</f>
        <v>稀釋</v>
      </c>
      <c r="M7" s="172" t="str">
        <f>IFERROR(IF(J7&lt;T7,"KOH："&amp;ROUND(((T7-J7)*S7/0.6525/1000),1)&amp;" L",IF(J7&gt;U7,"排藥："&amp;ROUND((J7-U7)/J7*S7,1)&amp;" L"&amp;"
補水："&amp;ROUND((J7-U7)/J7*S7,1)&amp;" L","")),"")</f>
        <v>排藥：17.9 L
補水：17.9 L</v>
      </c>
      <c r="N7" s="256"/>
      <c r="O7" s="257"/>
      <c r="P7" s="142" t="str">
        <f>IF(N7="","",(1.12*N7*F值!$B$4)*2)</f>
        <v/>
      </c>
      <c r="Q7" s="18" t="str">
        <f>IF(P7="","",IF(OR(P7&lt;E7,P7&gt;G7),"NG","OK"))</f>
        <v/>
      </c>
      <c r="R7" s="4" t="s">
        <v>173</v>
      </c>
      <c r="S7" s="2">
        <v>1000</v>
      </c>
      <c r="T7" s="2">
        <v>20</v>
      </c>
      <c r="U7" s="18">
        <v>22</v>
      </c>
    </row>
    <row r="8" spans="1:21" ht="60" customHeight="1">
      <c r="A8" s="209"/>
      <c r="B8" s="255"/>
      <c r="C8" s="26" t="s">
        <v>47</v>
      </c>
      <c r="D8" s="27" t="s">
        <v>31</v>
      </c>
      <c r="E8" s="28">
        <v>7</v>
      </c>
      <c r="F8" s="24" t="s">
        <v>19</v>
      </c>
      <c r="G8" s="29">
        <v>9</v>
      </c>
      <c r="H8" s="249" t="s">
        <v>34</v>
      </c>
      <c r="I8" s="250"/>
      <c r="J8" s="143"/>
      <c r="K8" s="25" t="str">
        <f t="shared" ref="K8:K20" si="0">IF(J8="","",IF(OR(J8&lt;E8,J8&gt;G8),"NG","OK"))</f>
        <v/>
      </c>
      <c r="L8" s="22" t="str">
        <f>IF(J8="","",IF(J8&gt;U8,"更槽",""))</f>
        <v/>
      </c>
      <c r="M8" s="172"/>
      <c r="N8" s="249" t="s">
        <v>34</v>
      </c>
      <c r="O8" s="250"/>
      <c r="P8" s="143"/>
      <c r="Q8" s="18" t="str">
        <f t="shared" ref="Q8:Q20" si="1">IF(P8="","",IF(OR(P8&lt;E8,P8&gt;G8),"NG","OK"))</f>
        <v/>
      </c>
      <c r="R8" s="2" t="s">
        <v>172</v>
      </c>
      <c r="S8" s="2">
        <v>1000</v>
      </c>
      <c r="T8" s="2" t="s">
        <v>100</v>
      </c>
      <c r="U8" s="18" t="s">
        <v>100</v>
      </c>
    </row>
    <row r="9" spans="1:21" ht="60" customHeight="1">
      <c r="A9" s="209"/>
      <c r="B9" s="255"/>
      <c r="C9" s="18" t="s">
        <v>32</v>
      </c>
      <c r="D9" s="27" t="s">
        <v>33</v>
      </c>
      <c r="E9" s="28">
        <v>12.8</v>
      </c>
      <c r="F9" s="24" t="s">
        <v>19</v>
      </c>
      <c r="G9" s="29">
        <v>13.8</v>
      </c>
      <c r="H9" s="249" t="s">
        <v>34</v>
      </c>
      <c r="I9" s="250"/>
      <c r="J9" s="143"/>
      <c r="K9" s="25" t="str">
        <f t="shared" si="0"/>
        <v/>
      </c>
      <c r="L9" s="22" t="str">
        <f>IF(J9="","",IF(J9&gt;U9,"更槽",""))</f>
        <v/>
      </c>
      <c r="M9" s="172"/>
      <c r="N9" s="249" t="s">
        <v>34</v>
      </c>
      <c r="O9" s="250"/>
      <c r="P9" s="143"/>
      <c r="Q9" s="18" t="str">
        <f t="shared" si="1"/>
        <v/>
      </c>
      <c r="R9" s="2" t="s">
        <v>172</v>
      </c>
      <c r="S9" s="2">
        <v>1000</v>
      </c>
      <c r="T9" s="2" t="s">
        <v>100</v>
      </c>
      <c r="U9" s="18" t="s">
        <v>100</v>
      </c>
    </row>
    <row r="10" spans="1:21" ht="60" customHeight="1">
      <c r="A10" s="209"/>
      <c r="B10" s="255" t="s">
        <v>48</v>
      </c>
      <c r="C10" s="26" t="s">
        <v>35</v>
      </c>
      <c r="D10" s="27" t="s">
        <v>36</v>
      </c>
      <c r="E10" s="28">
        <v>135</v>
      </c>
      <c r="F10" s="24" t="s">
        <v>19</v>
      </c>
      <c r="G10" s="29">
        <v>165</v>
      </c>
      <c r="H10" s="247"/>
      <c r="I10" s="248"/>
      <c r="J10" s="138" t="str">
        <f>IF(H10="","",(11.94*H10*F值!$B$8))</f>
        <v/>
      </c>
      <c r="K10" s="25" t="str">
        <f t="shared" si="0"/>
        <v/>
      </c>
      <c r="L10" s="2" t="str">
        <f>IF(J10="","",IF(J10&lt;T10,"添加",IF(J10&gt;U10,"稀釋","")))</f>
        <v/>
      </c>
      <c r="M10" s="172" t="str">
        <f>IFERROR(IF(J10&lt;T10,"P200："&amp;ROUND(((T10-J10)*S10/1000),1)&amp;" L",IF(J10&gt;U10,"排藥："&amp;ROUND((J10-U10)/J10*S10,1)&amp;" L"&amp;"
補水："&amp;ROUND((J10-U10)/J10*S10,1)&amp;" L","")),"")</f>
        <v/>
      </c>
      <c r="N10" s="247"/>
      <c r="O10" s="248"/>
      <c r="P10" s="138" t="str">
        <f>IF(N10="","",(11.94*N10*F值!$B$8))</f>
        <v/>
      </c>
      <c r="Q10" s="18" t="str">
        <f t="shared" si="1"/>
        <v/>
      </c>
      <c r="R10" s="4" t="s">
        <v>178</v>
      </c>
      <c r="S10" s="2">
        <v>600</v>
      </c>
      <c r="T10" s="2">
        <v>150</v>
      </c>
      <c r="U10" s="18">
        <v>165</v>
      </c>
    </row>
    <row r="11" spans="1:21" ht="60" customHeight="1">
      <c r="A11" s="209"/>
      <c r="B11" s="255"/>
      <c r="C11" s="18" t="s">
        <v>32</v>
      </c>
      <c r="D11" s="27" t="s">
        <v>49</v>
      </c>
      <c r="E11" s="28">
        <v>9.5</v>
      </c>
      <c r="F11" s="24" t="s">
        <v>19</v>
      </c>
      <c r="G11" s="29">
        <v>11</v>
      </c>
      <c r="H11" s="249" t="s">
        <v>34</v>
      </c>
      <c r="I11" s="250"/>
      <c r="J11" s="143"/>
      <c r="K11" s="25" t="str">
        <f t="shared" si="0"/>
        <v/>
      </c>
      <c r="L11" s="22" t="str">
        <f>IF(J11="","",IF(J11&gt;U11,"更槽",""))</f>
        <v/>
      </c>
      <c r="M11" s="172"/>
      <c r="N11" s="249" t="s">
        <v>34</v>
      </c>
      <c r="O11" s="250"/>
      <c r="P11" s="143"/>
      <c r="Q11" s="18" t="str">
        <f t="shared" si="1"/>
        <v/>
      </c>
      <c r="R11" s="2" t="s">
        <v>172</v>
      </c>
      <c r="S11" s="2">
        <v>600</v>
      </c>
      <c r="T11" s="2" t="s">
        <v>100</v>
      </c>
      <c r="U11" s="18" t="s">
        <v>100</v>
      </c>
    </row>
    <row r="12" spans="1:21" ht="60" customHeight="1">
      <c r="A12" s="209"/>
      <c r="B12" s="20" t="s">
        <v>50</v>
      </c>
      <c r="C12" s="26" t="s">
        <v>51</v>
      </c>
      <c r="D12" s="27" t="s">
        <v>52</v>
      </c>
      <c r="E12" s="28">
        <v>240</v>
      </c>
      <c r="F12" s="24" t="s">
        <v>19</v>
      </c>
      <c r="G12" s="29">
        <v>280</v>
      </c>
      <c r="H12" s="247"/>
      <c r="I12" s="248"/>
      <c r="J12" s="138" t="str">
        <f>IF(H12="","",42.14*H12*F值!$B$3)</f>
        <v/>
      </c>
      <c r="K12" s="25" t="str">
        <f t="shared" si="0"/>
        <v/>
      </c>
      <c r="L12" s="2" t="str">
        <f>IF(J12&gt;T12,"","添加")</f>
        <v/>
      </c>
      <c r="M12" s="173" t="str">
        <f>IFERROR(IF(J12&lt;T12,"P300："&amp;ROUND(((T12-J12)*S12/1000),1)&amp;" L",IF(J12&gt;U12,"排藥："&amp;ROUND((J12-U12)/J12*S12,1)&amp;" L"&amp;"
補水："&amp;ROUND((J12-U12)/J12*S12,1)&amp;" L","")),"")</f>
        <v/>
      </c>
      <c r="N12" s="247"/>
      <c r="O12" s="248"/>
      <c r="P12" s="138" t="str">
        <f>IF(N12="","",42.14*N12*F值!$B$3)</f>
        <v/>
      </c>
      <c r="Q12" s="18" t="str">
        <f t="shared" si="1"/>
        <v/>
      </c>
      <c r="R12" s="4" t="s">
        <v>196</v>
      </c>
      <c r="S12" s="2">
        <v>250</v>
      </c>
      <c r="T12" s="2">
        <v>260</v>
      </c>
      <c r="U12" s="18">
        <v>280</v>
      </c>
    </row>
    <row r="13" spans="1:21" ht="60" customHeight="1">
      <c r="A13" s="209"/>
      <c r="B13" s="255" t="s">
        <v>53</v>
      </c>
      <c r="C13" s="26" t="s">
        <v>54</v>
      </c>
      <c r="D13" s="27" t="s">
        <v>55</v>
      </c>
      <c r="E13" s="28">
        <v>30</v>
      </c>
      <c r="F13" s="24" t="s">
        <v>19</v>
      </c>
      <c r="G13" s="145">
        <v>999</v>
      </c>
      <c r="H13" s="247"/>
      <c r="I13" s="248"/>
      <c r="J13" s="138" t="str">
        <f>IF(H13="","",(H13*195.7)+1.7752)</f>
        <v/>
      </c>
      <c r="K13" s="25" t="str">
        <f t="shared" si="0"/>
        <v/>
      </c>
      <c r="L13" s="2" t="str">
        <f>IF(J13="","",IF(J13&lt;T13,"添加",IF(J13&gt;U13,"稀釋","")))</f>
        <v/>
      </c>
      <c r="M13" s="172" t="str">
        <f>IFERROR(IF(J13&lt;T13,"P400："&amp;ROUND(((T13-J13)*S13/1000),1)&amp;" L",IF(J13&gt;U13,"排藥："&amp;ROUND((J13-U13)/J13*S13,1)&amp;" L"&amp;"
補水："&amp;ROUND((J13-U13)/J13*S13,1)&amp;" L","")),"")</f>
        <v/>
      </c>
      <c r="N13" s="247"/>
      <c r="O13" s="248"/>
      <c r="P13" s="138" t="str">
        <f>IF(N13="","",(N13*195.7)+1.7752)</f>
        <v/>
      </c>
      <c r="Q13" s="18" t="str">
        <f t="shared" si="1"/>
        <v/>
      </c>
      <c r="R13" s="4" t="s">
        <v>174</v>
      </c>
      <c r="S13" s="2">
        <v>630</v>
      </c>
      <c r="T13" s="2">
        <v>31</v>
      </c>
      <c r="U13" s="18" t="s">
        <v>100</v>
      </c>
    </row>
    <row r="14" spans="1:21" ht="60" customHeight="1">
      <c r="A14" s="209"/>
      <c r="B14" s="255"/>
      <c r="C14" s="26" t="s">
        <v>37</v>
      </c>
      <c r="D14" s="27" t="s">
        <v>56</v>
      </c>
      <c r="E14" s="28">
        <v>5</v>
      </c>
      <c r="F14" s="24" t="s">
        <v>19</v>
      </c>
      <c r="G14" s="29">
        <v>25</v>
      </c>
      <c r="H14" s="247"/>
      <c r="I14" s="248"/>
      <c r="J14" s="138" t="str">
        <f>IF(H14="","",2.256*H14*F值!$B$9)</f>
        <v/>
      </c>
      <c r="K14" s="25" t="str">
        <f t="shared" si="0"/>
        <v/>
      </c>
      <c r="L14" s="2" t="str">
        <f t="shared" ref="L14:L15" si="2">IF(J14="","",IF(J14&lt;T14,"添加",IF(J14&gt;U14,"稀釋","")))</f>
        <v/>
      </c>
      <c r="M14" s="172" t="str">
        <f>IFERROR(IF(J14&lt;T14,"安定劑："&amp;ROUND(((T14-J14)*S14/1000),1)&amp;" L",IF(J14&gt;U14,"排藥："&amp;ROUND((J14-U14)/J14*S14,1)&amp;" L"&amp;"
補水："&amp;ROUND((J14-U14)/J14*S14,1)&amp;" L","")),"")</f>
        <v/>
      </c>
      <c r="N14" s="247"/>
      <c r="O14" s="248"/>
      <c r="P14" s="138" t="str">
        <f>IF(N14="","",2.256*N14*F值!$B$9)</f>
        <v/>
      </c>
      <c r="Q14" s="18" t="str">
        <f t="shared" si="1"/>
        <v/>
      </c>
      <c r="R14" s="2" t="s">
        <v>175</v>
      </c>
      <c r="S14" s="2">
        <v>630</v>
      </c>
      <c r="T14" s="2">
        <v>5</v>
      </c>
      <c r="U14" s="18" t="s">
        <v>100</v>
      </c>
    </row>
    <row r="15" spans="1:21" ht="60" customHeight="1">
      <c r="A15" s="209"/>
      <c r="B15" s="255" t="s">
        <v>38</v>
      </c>
      <c r="C15" s="26" t="s">
        <v>39</v>
      </c>
      <c r="D15" s="27" t="s">
        <v>40</v>
      </c>
      <c r="E15" s="28">
        <v>90</v>
      </c>
      <c r="F15" s="24" t="s">
        <v>19</v>
      </c>
      <c r="G15" s="29">
        <v>110</v>
      </c>
      <c r="H15" s="247"/>
      <c r="I15" s="248"/>
      <c r="J15" s="138" t="str">
        <f>IF(H15="","",7.24*H15*F值!$B$3)</f>
        <v/>
      </c>
      <c r="K15" s="25" t="str">
        <f t="shared" si="0"/>
        <v/>
      </c>
      <c r="L15" s="2" t="str">
        <f t="shared" si="2"/>
        <v/>
      </c>
      <c r="M15" s="172" t="str">
        <f>IFERROR(IF(J15&lt;T15,"P500A："&amp;ROUND(((T15-J15)*S15/1000),1)&amp;" L",IF(J15&gt;U15,"排藥："&amp;ROUND((J15-U15)/J15*S15,1)&amp;" L"&amp;"
補水："&amp;ROUND((J15-U15)/J15*S15,1)&amp;" L","")),"")</f>
        <v/>
      </c>
      <c r="N15" s="247"/>
      <c r="O15" s="248"/>
      <c r="P15" s="138" t="str">
        <f>IF(N15="","",7.24*N15*F值!$B$3)</f>
        <v/>
      </c>
      <c r="Q15" s="18" t="str">
        <f t="shared" si="1"/>
        <v/>
      </c>
      <c r="R15" s="4" t="s">
        <v>194</v>
      </c>
      <c r="S15" s="2">
        <v>600</v>
      </c>
      <c r="T15" s="2">
        <v>100</v>
      </c>
      <c r="U15" s="18">
        <v>110</v>
      </c>
    </row>
    <row r="16" spans="1:21" ht="60" customHeight="1">
      <c r="A16" s="209"/>
      <c r="B16" s="255"/>
      <c r="C16" s="26" t="s">
        <v>37</v>
      </c>
      <c r="D16" s="26" t="s">
        <v>41</v>
      </c>
      <c r="E16" s="137">
        <v>0</v>
      </c>
      <c r="F16" s="24" t="s">
        <v>19</v>
      </c>
      <c r="G16" s="29">
        <v>0.3</v>
      </c>
      <c r="H16" s="247"/>
      <c r="I16" s="248"/>
      <c r="J16" s="138" t="str">
        <f>IF(H16="","",2.256*H16*F值!$B$9)</f>
        <v/>
      </c>
      <c r="K16" s="25" t="str">
        <f t="shared" si="0"/>
        <v/>
      </c>
      <c r="L16" s="22" t="str">
        <f>IF(J16="","",IF(J16&gt;U16,"更槽",""))</f>
        <v/>
      </c>
      <c r="M16" s="172"/>
      <c r="N16" s="247"/>
      <c r="O16" s="248"/>
      <c r="P16" s="138" t="str">
        <f>IF(N16="","",2.256*N16*F值!$B$9)</f>
        <v/>
      </c>
      <c r="Q16" s="18" t="str">
        <f t="shared" si="1"/>
        <v/>
      </c>
      <c r="R16" s="4" t="s">
        <v>195</v>
      </c>
      <c r="S16" s="2">
        <v>600</v>
      </c>
      <c r="T16" s="2" t="s">
        <v>100</v>
      </c>
      <c r="U16" s="18" t="s">
        <v>100</v>
      </c>
    </row>
    <row r="17" spans="1:22" ht="60" customHeight="1">
      <c r="A17" s="209"/>
      <c r="B17" s="255" t="s">
        <v>57</v>
      </c>
      <c r="C17" s="26" t="s">
        <v>42</v>
      </c>
      <c r="D17" s="27" t="s">
        <v>43</v>
      </c>
      <c r="E17" s="28">
        <v>4.5999999999999996</v>
      </c>
      <c r="F17" s="24" t="s">
        <v>19</v>
      </c>
      <c r="G17" s="29">
        <v>5</v>
      </c>
      <c r="H17" s="247"/>
      <c r="I17" s="248"/>
      <c r="J17" s="138" t="str">
        <f>IF(H17="","",0.59*H17*F值!$B$6)</f>
        <v/>
      </c>
      <c r="K17" s="25" t="str">
        <f t="shared" si="0"/>
        <v/>
      </c>
      <c r="L17" s="2" t="str">
        <f t="shared" ref="L17:L18" si="3">IF(J17="","",IF(J17&lt;T17,"添加",IF(J17&gt;U17,"稀釋","")))</f>
        <v/>
      </c>
      <c r="M17" s="172" t="str">
        <f>IFERROR(IF(J17&lt;T17,"A劑："&amp;ROUND(((T17-J17)*S17*9.2/1000),1)&amp;" L",IF(J17&gt;U17,"排藥："&amp;ROUND((J17-U17)/J17*S17,1)&amp;" L"&amp;"
補水："&amp;ROUND((J17-U17)/J17*S17,1)&amp;" L","")),"")</f>
        <v/>
      </c>
      <c r="N17" s="247"/>
      <c r="O17" s="248"/>
      <c r="P17" s="138" t="str">
        <f>IF(N17="","",0.59*N17*F值!$B$6)</f>
        <v/>
      </c>
      <c r="Q17" s="18" t="str">
        <f t="shared" si="1"/>
        <v/>
      </c>
      <c r="R17" s="4" t="s">
        <v>179</v>
      </c>
      <c r="S17" s="2">
        <v>1200</v>
      </c>
      <c r="T17" s="2">
        <v>4.8</v>
      </c>
      <c r="U17" s="18">
        <v>5</v>
      </c>
    </row>
    <row r="18" spans="1:22" ht="60" customHeight="1">
      <c r="A18" s="209"/>
      <c r="B18" s="255"/>
      <c r="C18" s="104" t="s">
        <v>58</v>
      </c>
      <c r="D18" s="27" t="s">
        <v>44</v>
      </c>
      <c r="E18" s="28">
        <v>17</v>
      </c>
      <c r="F18" s="24" t="s">
        <v>19</v>
      </c>
      <c r="G18" s="29">
        <v>20</v>
      </c>
      <c r="H18" s="169"/>
      <c r="I18" s="113"/>
      <c r="J18" s="143" t="str">
        <f>IF(I18="","",(H18-I18)*2.65)</f>
        <v/>
      </c>
      <c r="K18" s="25" t="str">
        <f t="shared" si="0"/>
        <v/>
      </c>
      <c r="L18" s="2" t="str">
        <f t="shared" si="3"/>
        <v/>
      </c>
      <c r="M18" s="172" t="str">
        <f>IF(J18&lt;T18,"A劑："&amp;ROUND(((T18-J18)*S18*1.62/1000),1)&amp;" L",IF(J18&gt;U18,"排藥："&amp;ROUND((J18-U18)/J18*S18,1)&amp;" L"&amp;"
補水："&amp;ROUND((J18-U18)/J18*S18,1)&amp;" L",""))</f>
        <v/>
      </c>
      <c r="N18" s="169"/>
      <c r="O18" s="113"/>
      <c r="P18" s="143" t="str">
        <f>IF(O18="","",(N18-O18)*2.65)</f>
        <v/>
      </c>
      <c r="Q18" s="18" t="str">
        <f t="shared" si="1"/>
        <v/>
      </c>
      <c r="R18" s="4" t="s">
        <v>176</v>
      </c>
      <c r="S18" s="2">
        <v>1200</v>
      </c>
      <c r="T18" s="2">
        <v>18.5</v>
      </c>
      <c r="U18" s="18" t="s">
        <v>100</v>
      </c>
      <c r="V18" s="14"/>
    </row>
    <row r="19" spans="1:22" ht="60" customHeight="1">
      <c r="A19" s="209"/>
      <c r="B19" s="255"/>
      <c r="C19" s="105" t="s">
        <v>59</v>
      </c>
      <c r="D19" s="26" t="s">
        <v>45</v>
      </c>
      <c r="E19" s="23">
        <v>0</v>
      </c>
      <c r="F19" s="24" t="s">
        <v>19</v>
      </c>
      <c r="G19" s="25">
        <v>100</v>
      </c>
      <c r="H19" s="168"/>
      <c r="I19" s="113"/>
      <c r="J19" s="143" t="str">
        <f>IF(I19="","",(H19-I19)*10.8)</f>
        <v/>
      </c>
      <c r="K19" s="25" t="str">
        <f t="shared" si="0"/>
        <v/>
      </c>
      <c r="L19" s="22" t="str">
        <f>IF(J19="","",IF(J19&gt;U19,"更槽",""))</f>
        <v/>
      </c>
      <c r="M19" s="172"/>
      <c r="N19" s="168"/>
      <c r="O19" s="113"/>
      <c r="P19" s="143" t="str">
        <f>IF(O19="","",(N19-O19)*10.8)</f>
        <v/>
      </c>
      <c r="Q19" s="18" t="str">
        <f t="shared" si="1"/>
        <v/>
      </c>
      <c r="R19" s="4" t="s">
        <v>197</v>
      </c>
      <c r="S19" s="2">
        <v>1200</v>
      </c>
      <c r="T19" s="2" t="s">
        <v>100</v>
      </c>
      <c r="U19" s="18" t="s">
        <v>100</v>
      </c>
      <c r="V19" s="14"/>
    </row>
    <row r="20" spans="1:22" ht="60" customHeight="1">
      <c r="A20" s="209"/>
      <c r="B20" s="255"/>
      <c r="C20" s="18" t="s">
        <v>32</v>
      </c>
      <c r="D20" s="18" t="s">
        <v>46</v>
      </c>
      <c r="E20" s="23">
        <v>8.3000000000000007</v>
      </c>
      <c r="F20" s="24" t="s">
        <v>19</v>
      </c>
      <c r="G20" s="25">
        <v>8.6999999999999993</v>
      </c>
      <c r="H20" s="249" t="s">
        <v>34</v>
      </c>
      <c r="I20" s="250"/>
      <c r="J20" s="144"/>
      <c r="K20" s="25" t="str">
        <f t="shared" si="0"/>
        <v/>
      </c>
      <c r="L20" s="2" t="str">
        <f>IF(J20="","",IF(J20&gt;T20,"","添加"))</f>
        <v/>
      </c>
      <c r="M20" s="172" t="str">
        <f>IF(J20="","",IF(J20&lt;T20,"氨水："&amp;ROUND(((T20-J20)*S20*16.5/1000),1)&amp;" L",""))</f>
        <v/>
      </c>
      <c r="N20" s="249" t="s">
        <v>34</v>
      </c>
      <c r="O20" s="250"/>
      <c r="P20" s="144"/>
      <c r="Q20" s="18" t="str">
        <f t="shared" si="1"/>
        <v/>
      </c>
      <c r="R20" s="4" t="s">
        <v>177</v>
      </c>
      <c r="S20" s="2">
        <v>1200</v>
      </c>
      <c r="T20" s="2">
        <v>8.5</v>
      </c>
      <c r="U20" s="18" t="s">
        <v>100</v>
      </c>
    </row>
    <row r="21" spans="1:22" ht="18" customHeight="1">
      <c r="A21" s="33" t="s">
        <v>23</v>
      </c>
      <c r="B21" s="34"/>
      <c r="C21" s="34"/>
      <c r="D21" s="34"/>
      <c r="E21" s="34"/>
      <c r="F21" s="34"/>
      <c r="G21" s="34"/>
      <c r="H21" s="34"/>
      <c r="I21" s="34"/>
      <c r="J21" s="34"/>
      <c r="K21" s="31"/>
    </row>
    <row r="22" spans="1:22" ht="18" customHeight="1">
      <c r="A22" s="19"/>
      <c r="B22" s="15"/>
      <c r="D22" s="15"/>
      <c r="E22" s="15"/>
      <c r="F22" s="15"/>
      <c r="G22" s="15"/>
      <c r="H22" s="15"/>
      <c r="I22" s="15"/>
      <c r="J22" s="15"/>
      <c r="K22" s="36"/>
    </row>
    <row r="23" spans="1:22" ht="18" customHeight="1">
      <c r="A23" s="238"/>
      <c r="B23" s="239"/>
      <c r="C23" s="240"/>
      <c r="D23" s="240"/>
      <c r="E23" s="240"/>
      <c r="F23" s="240"/>
      <c r="G23" s="240"/>
      <c r="H23" s="240"/>
      <c r="I23" s="240"/>
      <c r="J23" s="240"/>
      <c r="K23" s="241"/>
    </row>
    <row r="24" spans="1:22" s="16" customFormat="1" ht="18" customHeight="1">
      <c r="A24" s="242"/>
      <c r="B24" s="243"/>
      <c r="C24" s="243"/>
      <c r="D24" s="243"/>
      <c r="E24" s="243"/>
      <c r="F24" s="243"/>
      <c r="G24" s="243"/>
      <c r="H24" s="243"/>
      <c r="I24" s="243"/>
      <c r="J24" s="243"/>
      <c r="K24" s="244"/>
      <c r="L24" s="103"/>
      <c r="M24" s="103"/>
      <c r="N24" s="103"/>
      <c r="O24" s="103"/>
      <c r="P24" s="103"/>
      <c r="Q24" s="103"/>
      <c r="R24" s="103"/>
      <c r="S24" s="103"/>
      <c r="T24" s="103"/>
      <c r="V24" s="14"/>
    </row>
    <row r="25" spans="1:22" s="16" customFormat="1" ht="18" customHeight="1">
      <c r="A25" s="37" t="s">
        <v>25</v>
      </c>
      <c r="B25" s="14"/>
      <c r="C25" s="38" t="s">
        <v>26</v>
      </c>
      <c r="D25" s="14"/>
      <c r="E25" s="14"/>
      <c r="F25" s="14"/>
      <c r="G25" s="14"/>
      <c r="H25" s="38"/>
      <c r="I25" s="38" t="s">
        <v>27</v>
      </c>
      <c r="J25" s="14"/>
      <c r="K25" s="14"/>
      <c r="L25" s="103"/>
      <c r="M25" s="103"/>
      <c r="N25" s="103"/>
      <c r="O25" s="103"/>
      <c r="P25" s="103"/>
      <c r="Q25" s="103"/>
      <c r="R25" s="103"/>
      <c r="S25" s="103"/>
      <c r="T25" s="103"/>
      <c r="V25" s="14"/>
    </row>
    <row r="26" spans="1:22" s="16" customFormat="1" ht="18" customHeight="1">
      <c r="A26" s="14"/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03"/>
      <c r="M26" s="103"/>
      <c r="N26" s="103"/>
      <c r="O26" s="103"/>
      <c r="P26" s="103"/>
      <c r="Q26" s="103"/>
      <c r="R26" s="103"/>
      <c r="S26" s="103"/>
      <c r="T26" s="103"/>
      <c r="V26" s="14"/>
    </row>
    <row r="27" spans="1:22" s="16" customFormat="1" ht="18" customHeight="1">
      <c r="A27" s="14"/>
      <c r="B27" s="14"/>
      <c r="C27" s="15"/>
      <c r="D27" s="14"/>
      <c r="E27" s="14"/>
      <c r="F27" s="14"/>
      <c r="G27" s="14"/>
      <c r="H27" s="14"/>
      <c r="I27" s="14"/>
      <c r="J27" s="14"/>
      <c r="K27" s="14"/>
      <c r="L27" s="103"/>
      <c r="M27" s="103"/>
      <c r="N27" s="103"/>
      <c r="O27" s="103"/>
      <c r="P27" s="103"/>
      <c r="Q27" s="103"/>
      <c r="R27" s="103"/>
      <c r="S27" s="103"/>
      <c r="T27" s="103"/>
      <c r="V27" s="14"/>
    </row>
  </sheetData>
  <sheetProtection algorithmName="SHA-512" hashValue="I13ZDAquTQbA657e/9bPrrYNgw+rzI9VTCACPjzPj6iYPrg3JRQN/xijq/z+KtrNHRz16kJhO9rtxD37+Nm/3A==" saltValue="ghPaz0gmh9uOsKsSVX1BTQ==" spinCount="100000" sheet="1" objects="1" scenarios="1"/>
  <mergeCells count="39">
    <mergeCell ref="A1:K1"/>
    <mergeCell ref="A2:K2"/>
    <mergeCell ref="B3:K3"/>
    <mergeCell ref="B4:K4"/>
    <mergeCell ref="B5:K5"/>
    <mergeCell ref="N6:O6"/>
    <mergeCell ref="A7:A20"/>
    <mergeCell ref="B7:B9"/>
    <mergeCell ref="H7:I7"/>
    <mergeCell ref="N7:O7"/>
    <mergeCell ref="H8:I8"/>
    <mergeCell ref="N8:O8"/>
    <mergeCell ref="H9:I9"/>
    <mergeCell ref="N9:O9"/>
    <mergeCell ref="B10:B11"/>
    <mergeCell ref="E6:G6"/>
    <mergeCell ref="H6:I6"/>
    <mergeCell ref="H10:I10"/>
    <mergeCell ref="N10:O10"/>
    <mergeCell ref="H11:I11"/>
    <mergeCell ref="N11:O11"/>
    <mergeCell ref="H12:I12"/>
    <mergeCell ref="N12:O12"/>
    <mergeCell ref="A23:K24"/>
    <mergeCell ref="B13:B14"/>
    <mergeCell ref="H13:I13"/>
    <mergeCell ref="N13:O13"/>
    <mergeCell ref="H14:I14"/>
    <mergeCell ref="N14:O14"/>
    <mergeCell ref="B15:B16"/>
    <mergeCell ref="H15:I15"/>
    <mergeCell ref="N15:O15"/>
    <mergeCell ref="H16:I16"/>
    <mergeCell ref="N16:O16"/>
    <mergeCell ref="B17:B20"/>
    <mergeCell ref="H17:I17"/>
    <mergeCell ref="N17:O17"/>
    <mergeCell ref="H20:I20"/>
    <mergeCell ref="N20:O20"/>
  </mergeCells>
  <phoneticPr fontId="18" type="noConversion"/>
  <conditionalFormatting sqref="K7:K20">
    <cfRule type="containsText" dxfId="21" priority="6" operator="containsText" text="NG">
      <formula>NOT(ISERROR(SEARCH("NG",K7)))</formula>
    </cfRule>
  </conditionalFormatting>
  <conditionalFormatting sqref="L10">
    <cfRule type="containsText" dxfId="20" priority="5" operator="containsText" text="NG">
      <formula>NOT(ISERROR(SEARCH("NG",L10)))</formula>
    </cfRule>
  </conditionalFormatting>
  <conditionalFormatting sqref="L12:L15">
    <cfRule type="containsText" dxfId="19" priority="4" operator="containsText" text="NG">
      <formula>NOT(ISERROR(SEARCH("NG",L12)))</formula>
    </cfRule>
  </conditionalFormatting>
  <conditionalFormatting sqref="L17:L18">
    <cfRule type="containsText" dxfId="18" priority="3" operator="containsText" text="NG">
      <formula>NOT(ISERROR(SEARCH("NG",L17)))</formula>
    </cfRule>
  </conditionalFormatting>
  <conditionalFormatting sqref="L7:M7 L20:M20">
    <cfRule type="containsText" dxfId="17" priority="7" operator="containsText" text="NG">
      <formula>NOT(ISERROR(SEARCH("NG",L7)))</formula>
    </cfRule>
  </conditionalFormatting>
  <conditionalFormatting sqref="M8:M19">
    <cfRule type="containsText" dxfId="16" priority="2" operator="containsText" text="NG">
      <formula>NOT(ISERROR(SEARCH("NG",M8)))</formula>
    </cfRule>
  </conditionalFormatting>
  <conditionalFormatting sqref="Q7:R20">
    <cfRule type="containsText" dxfId="15" priority="1" operator="containsText" text="NG">
      <formula>NOT(ISERROR(SEARCH("NG",Q7)))</formula>
    </cfRule>
  </conditionalFormatting>
  <conditionalFormatting sqref="T7:T20">
    <cfRule type="containsText" dxfId="14" priority="8" operator="containsText" text="NG">
      <formula>NOT(ISERROR(SEARCH("NG",T7)))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T23"/>
  <sheetViews>
    <sheetView showGridLines="0" zoomScale="40" zoomScaleNormal="40" workbookViewId="0">
      <selection activeCell="L16" sqref="L16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21.625" style="14" customWidth="1"/>
    <col min="10" max="10" width="21.625" style="15" customWidth="1"/>
    <col min="11" max="11" width="21.625" style="16" customWidth="1"/>
    <col min="12" max="12" width="50.625" style="17" customWidth="1"/>
    <col min="13" max="15" width="21.625" style="17" customWidth="1"/>
    <col min="16" max="16" width="30.625" style="16" customWidth="1"/>
    <col min="17" max="17" width="21.625" style="16" customWidth="1"/>
    <col min="18" max="19" width="21.625" style="17" customWidth="1"/>
    <col min="20" max="20" width="30.625" style="14" customWidth="1"/>
    <col min="21" max="22" width="30.625" style="17" customWidth="1"/>
    <col min="23" max="16384" width="9" style="17"/>
  </cols>
  <sheetData>
    <row r="1" spans="1:19" ht="27.75" customHeight="1">
      <c r="A1" s="200"/>
      <c r="B1" s="200"/>
      <c r="C1" s="200"/>
      <c r="D1" s="200"/>
      <c r="E1" s="200"/>
      <c r="F1" s="200"/>
      <c r="G1" s="200"/>
      <c r="H1" s="200"/>
      <c r="I1" s="200"/>
    </row>
    <row r="2" spans="1:19" ht="50.25">
      <c r="A2" s="201" t="s">
        <v>0</v>
      </c>
      <c r="B2" s="201"/>
      <c r="C2" s="201"/>
      <c r="D2" s="201"/>
      <c r="E2" s="201"/>
      <c r="F2" s="201"/>
      <c r="G2" s="201"/>
      <c r="H2" s="201"/>
      <c r="I2" s="201"/>
      <c r="J2" s="201"/>
    </row>
    <row r="3" spans="1:19" ht="35.1" customHeight="1">
      <c r="A3" s="18" t="s">
        <v>1</v>
      </c>
      <c r="B3" s="202" t="s">
        <v>215</v>
      </c>
      <c r="C3" s="203"/>
      <c r="D3" s="203"/>
      <c r="E3" s="203"/>
      <c r="F3" s="203"/>
      <c r="G3" s="203"/>
      <c r="H3" s="203"/>
      <c r="I3" s="203"/>
      <c r="J3" s="204"/>
    </row>
    <row r="4" spans="1:19" ht="35.1" customHeight="1">
      <c r="A4" s="18" t="s">
        <v>2</v>
      </c>
      <c r="B4" s="260"/>
      <c r="C4" s="261"/>
      <c r="D4" s="261"/>
      <c r="E4" s="261"/>
      <c r="F4" s="261"/>
      <c r="G4" s="261"/>
      <c r="H4" s="261"/>
      <c r="I4" s="261"/>
      <c r="J4" s="262"/>
    </row>
    <row r="5" spans="1:19" ht="35.1" customHeight="1">
      <c r="A5" s="18" t="s">
        <v>3</v>
      </c>
      <c r="B5" s="202"/>
      <c r="C5" s="203"/>
      <c r="D5" s="203"/>
      <c r="E5" s="203"/>
      <c r="F5" s="203"/>
      <c r="G5" s="203"/>
      <c r="H5" s="203"/>
      <c r="I5" s="203"/>
      <c r="J5" s="204"/>
      <c r="K5" s="19"/>
      <c r="M5" s="163" t="s">
        <v>206</v>
      </c>
      <c r="N5" s="163"/>
      <c r="O5" s="163"/>
      <c r="P5" s="15"/>
      <c r="Q5" s="15"/>
    </row>
    <row r="6" spans="1:19" ht="35.1" customHeight="1">
      <c r="A6" s="46" t="s">
        <v>1</v>
      </c>
      <c r="B6" s="46" t="s">
        <v>4</v>
      </c>
      <c r="C6" s="47" t="s">
        <v>5</v>
      </c>
      <c r="D6" s="47" t="s">
        <v>6</v>
      </c>
      <c r="E6" s="205" t="s">
        <v>7</v>
      </c>
      <c r="F6" s="206"/>
      <c r="G6" s="207"/>
      <c r="H6" s="47" t="s">
        <v>8</v>
      </c>
      <c r="I6" s="48" t="s">
        <v>9</v>
      </c>
      <c r="J6" s="47" t="s">
        <v>10</v>
      </c>
      <c r="K6" s="1" t="s">
        <v>11</v>
      </c>
      <c r="L6" s="2" t="s">
        <v>60</v>
      </c>
      <c r="M6" s="47" t="s">
        <v>8</v>
      </c>
      <c r="N6" s="47" t="s">
        <v>9</v>
      </c>
      <c r="O6" s="47" t="s">
        <v>10</v>
      </c>
      <c r="P6" s="2" t="s">
        <v>12</v>
      </c>
      <c r="Q6" s="2" t="s">
        <v>14</v>
      </c>
      <c r="R6" s="2" t="s">
        <v>15</v>
      </c>
      <c r="S6" s="18" t="s">
        <v>75</v>
      </c>
    </row>
    <row r="7" spans="1:19" ht="60" customHeight="1">
      <c r="A7" s="208" t="s">
        <v>256</v>
      </c>
      <c r="B7" s="263" t="s">
        <v>61</v>
      </c>
      <c r="C7" s="84" t="s">
        <v>62</v>
      </c>
      <c r="D7" s="27" t="s">
        <v>63</v>
      </c>
      <c r="E7" s="23">
        <v>165</v>
      </c>
      <c r="F7" s="24" t="s">
        <v>19</v>
      </c>
      <c r="G7" s="25">
        <v>205</v>
      </c>
      <c r="H7" s="9"/>
      <c r="I7" s="3" t="str">
        <f>IF(H7="","",H7*24.5*F值!$B$3)</f>
        <v/>
      </c>
      <c r="J7" s="18" t="str">
        <f>IF(I7="","",IF(OR(I7&lt;E7,I7&gt;G7),"NG","OK"))</f>
        <v/>
      </c>
      <c r="K7" s="2" t="str">
        <f>IF(I7="","",IF(I7&lt;R7,"添加",IF(I7&gt;S7,"稀釋","")))</f>
        <v/>
      </c>
      <c r="L7" s="172" t="str">
        <f>IFERROR(IF(I7&lt;R7,"硫酸(50%)："&amp;ROUND(((R7-I7)*Q7/0.714/1000),1)&amp;" L",IF(I7&gt;S7,"排藥："&amp;ROUND((I7-S7)/I7*Q7,1)&amp;" L"&amp;"
補水："&amp;ROUND((I7-S7)/I7*Q7,1)&amp;" L","")),"")</f>
        <v/>
      </c>
      <c r="M7" s="9"/>
      <c r="N7" s="89" t="str">
        <f>IF(M7="","",M7*24.5*F值!$B$3)</f>
        <v/>
      </c>
      <c r="O7" s="18" t="str">
        <f>IF(N7="","",IF(OR(N7&lt;E7,N7&gt;G7),"NG","OK"))</f>
        <v/>
      </c>
      <c r="P7" s="2" t="s">
        <v>202</v>
      </c>
      <c r="Q7" s="2">
        <v>1900</v>
      </c>
      <c r="R7" s="2">
        <v>185</v>
      </c>
      <c r="S7" s="18">
        <v>205</v>
      </c>
    </row>
    <row r="8" spans="1:19" ht="60" customHeight="1">
      <c r="A8" s="209"/>
      <c r="B8" s="264"/>
      <c r="C8" s="98" t="s">
        <v>64</v>
      </c>
      <c r="D8" s="27" t="s">
        <v>65</v>
      </c>
      <c r="E8" s="99">
        <v>45</v>
      </c>
      <c r="F8" s="24" t="s">
        <v>19</v>
      </c>
      <c r="G8" s="29">
        <v>65</v>
      </c>
      <c r="H8" s="9"/>
      <c r="I8" s="3" t="str">
        <f>IF(H8="","",H8*6.24*F值!$B$6)</f>
        <v/>
      </c>
      <c r="J8" s="18" t="str">
        <f t="shared" ref="J8:J16" si="0">IF(I8="","",IF(OR(I8&lt;E8,I8&gt;G8),"NG","OK"))</f>
        <v/>
      </c>
      <c r="K8" s="2" t="str">
        <f t="shared" ref="K8:K9" si="1">IF(I8="","",IF(I8&lt;R8,"添加",IF(I8&gt;S8,"稀釋","")))</f>
        <v/>
      </c>
      <c r="L8" s="172" t="str">
        <f>IFERROR(IF(I8&lt;R8,"氧化銅粉："&amp;ROUND(((R8-I8)*Q8/1000),1)&amp;" Kg",IF(I8="","",IF(I8&gt;S8,"通知工程師 ",""))),"")</f>
        <v/>
      </c>
      <c r="M8" s="9"/>
      <c r="N8" s="3" t="str">
        <f>IF(M8="","",M8*6.24*F值!$B$6)</f>
        <v/>
      </c>
      <c r="O8" s="18" t="str">
        <f t="shared" ref="O8:O16" si="2">IF(N8="","",IF(OR(N8&lt;E8,N8&gt;G8),"NG","OK"))</f>
        <v/>
      </c>
      <c r="P8" s="2" t="s">
        <v>184</v>
      </c>
      <c r="Q8" s="2">
        <v>1900</v>
      </c>
      <c r="R8" s="2">
        <v>55</v>
      </c>
      <c r="S8" s="18">
        <v>65</v>
      </c>
    </row>
    <row r="9" spans="1:19" ht="60" customHeight="1">
      <c r="A9" s="209"/>
      <c r="B9" s="264"/>
      <c r="C9" s="100" t="s">
        <v>66</v>
      </c>
      <c r="D9" s="90" t="s">
        <v>18</v>
      </c>
      <c r="E9" s="23">
        <v>30</v>
      </c>
      <c r="F9" s="24" t="s">
        <v>19</v>
      </c>
      <c r="G9" s="25">
        <v>60</v>
      </c>
      <c r="H9" s="9"/>
      <c r="I9" s="3" t="str">
        <f>IF(H9="","",H9*152)</f>
        <v/>
      </c>
      <c r="J9" s="18" t="str">
        <f t="shared" si="0"/>
        <v/>
      </c>
      <c r="K9" s="2" t="str">
        <f t="shared" si="1"/>
        <v/>
      </c>
      <c r="L9" s="172" t="str">
        <f>IF(I9&lt;R9,"鹽酸38%："&amp;ROUND((((R9-I9)/1000000)*Q9*0.36*1000),1)&amp;" ml",IF(I9="","",IF(I9&gt;S9,"通知工程師 ","")))</f>
        <v/>
      </c>
      <c r="M9" s="9"/>
      <c r="N9" s="89" t="str">
        <f>IF(M9="","",M9*152)</f>
        <v/>
      </c>
      <c r="O9" s="18" t="str">
        <f t="shared" si="2"/>
        <v/>
      </c>
      <c r="P9" s="2" t="s">
        <v>185</v>
      </c>
      <c r="Q9" s="2">
        <v>1900</v>
      </c>
      <c r="R9" s="2">
        <v>45</v>
      </c>
      <c r="S9" s="18">
        <v>60</v>
      </c>
    </row>
    <row r="10" spans="1:19" ht="60" customHeight="1">
      <c r="A10" s="209"/>
      <c r="B10" s="264"/>
      <c r="C10" s="87" t="s">
        <v>67</v>
      </c>
      <c r="D10" s="90" t="s">
        <v>68</v>
      </c>
      <c r="E10" s="101">
        <v>10</v>
      </c>
      <c r="F10" s="102" t="s">
        <v>19</v>
      </c>
      <c r="G10" s="88">
        <v>20</v>
      </c>
      <c r="H10" s="5" t="s">
        <v>34</v>
      </c>
      <c r="I10" s="6"/>
      <c r="J10" s="18" t="str">
        <f t="shared" si="0"/>
        <v/>
      </c>
      <c r="K10" s="2" t="str">
        <f>IF(I10="","",IF(I10&gt;R10,"","添加"))</f>
        <v/>
      </c>
      <c r="L10" s="172"/>
      <c r="M10" s="5" t="s">
        <v>34</v>
      </c>
      <c r="N10" s="7"/>
      <c r="O10" s="18" t="str">
        <f t="shared" si="2"/>
        <v/>
      </c>
      <c r="P10" s="2" t="s">
        <v>186</v>
      </c>
      <c r="Q10" s="2">
        <v>1900</v>
      </c>
      <c r="R10" s="2">
        <v>15</v>
      </c>
      <c r="S10" s="18">
        <v>20</v>
      </c>
    </row>
    <row r="11" spans="1:19" ht="60" customHeight="1">
      <c r="A11" s="209"/>
      <c r="B11" s="265"/>
      <c r="C11" s="86" t="s">
        <v>69</v>
      </c>
      <c r="D11" s="90" t="s">
        <v>70</v>
      </c>
      <c r="E11" s="101">
        <v>0.5</v>
      </c>
      <c r="F11" s="102" t="s">
        <v>19</v>
      </c>
      <c r="G11" s="88">
        <v>1.5</v>
      </c>
      <c r="H11" s="5" t="s">
        <v>34</v>
      </c>
      <c r="I11" s="6"/>
      <c r="J11" s="18" t="str">
        <f t="shared" si="0"/>
        <v/>
      </c>
      <c r="K11" s="2" t="str">
        <f>IF(I11="","",IF(I11&gt;R11,"","添加"))</f>
        <v/>
      </c>
      <c r="L11" s="172"/>
      <c r="M11" s="5" t="s">
        <v>34</v>
      </c>
      <c r="N11" s="7"/>
      <c r="O11" s="18" t="str">
        <f t="shared" si="2"/>
        <v/>
      </c>
      <c r="P11" s="2" t="s">
        <v>187</v>
      </c>
      <c r="Q11" s="2">
        <v>1900</v>
      </c>
      <c r="R11" s="2">
        <v>1</v>
      </c>
      <c r="S11" s="18">
        <v>1.5</v>
      </c>
    </row>
    <row r="12" spans="1:19" ht="60" customHeight="1">
      <c r="A12" s="209"/>
      <c r="B12" s="263" t="s">
        <v>71</v>
      </c>
      <c r="C12" s="84" t="s">
        <v>62</v>
      </c>
      <c r="D12" s="26" t="s">
        <v>72</v>
      </c>
      <c r="E12" s="30">
        <v>130</v>
      </c>
      <c r="F12" s="24" t="s">
        <v>19</v>
      </c>
      <c r="G12" s="31">
        <v>170</v>
      </c>
      <c r="H12" s="9"/>
      <c r="I12" s="3" t="str">
        <f>IF(H12="","",H12*24.5*F值!$B$3)</f>
        <v/>
      </c>
      <c r="J12" s="18" t="str">
        <f t="shared" si="0"/>
        <v/>
      </c>
      <c r="K12" s="2" t="str">
        <f t="shared" ref="K12:K14" si="3">IF(I12="","",IF(I12&lt;R12,"添加",IF(I12&gt;S12,"稀釋","")))</f>
        <v/>
      </c>
      <c r="L12" s="172" t="str">
        <f>IFERROR(IF(I12&lt;R12,"硫酸(50%)："&amp;ROUND(((R12-I12)*Q12/0.714/1000),1)&amp;" L",IF(I12&gt;S12,"排藥："&amp;ROUND((I12-S12)/I12*Q12,1)&amp;" L"&amp;"
加水："&amp;ROUND((I12-S12)/I12*Q12,1)&amp;" L","")),"")</f>
        <v/>
      </c>
      <c r="M12" s="9"/>
      <c r="N12" s="89" t="str">
        <f>IF(M12="","",M12*24.5*F值!$B$3)</f>
        <v/>
      </c>
      <c r="O12" s="18" t="str">
        <f t="shared" si="2"/>
        <v/>
      </c>
      <c r="P12" s="2" t="s">
        <v>202</v>
      </c>
      <c r="Q12" s="2">
        <v>3800</v>
      </c>
      <c r="R12" s="2">
        <v>150</v>
      </c>
      <c r="S12" s="18">
        <v>170</v>
      </c>
    </row>
    <row r="13" spans="1:19" ht="60" customHeight="1">
      <c r="A13" s="209"/>
      <c r="B13" s="264"/>
      <c r="C13" s="98" t="s">
        <v>64</v>
      </c>
      <c r="D13" s="20" t="s">
        <v>73</v>
      </c>
      <c r="E13" s="23">
        <v>110</v>
      </c>
      <c r="F13" s="24" t="s">
        <v>19</v>
      </c>
      <c r="G13" s="88">
        <v>130</v>
      </c>
      <c r="H13" s="9"/>
      <c r="I13" s="89" t="str">
        <f>IF(H13="","",H13*6.24*F值!$B$6)</f>
        <v/>
      </c>
      <c r="J13" s="18" t="str">
        <f t="shared" si="0"/>
        <v/>
      </c>
      <c r="K13" s="2" t="str">
        <f t="shared" si="3"/>
        <v/>
      </c>
      <c r="L13" s="172" t="str">
        <f>IFERROR(IF(I13&lt;R13,"氧化銅粉："&amp;ROUND(((R13-I13)*Q13/1000),1)&amp;" Kg",IF(I13="","",IF(I13&gt;S13,"通知工程師 ",""))),"")</f>
        <v/>
      </c>
      <c r="M13" s="9"/>
      <c r="N13" s="89" t="str">
        <f>IF(M13="","",M13*6.24*F值!$B$6)</f>
        <v/>
      </c>
      <c r="O13" s="18" t="str">
        <f t="shared" si="2"/>
        <v/>
      </c>
      <c r="P13" s="2" t="s">
        <v>184</v>
      </c>
      <c r="Q13" s="2">
        <v>3800</v>
      </c>
      <c r="R13" s="2">
        <v>120</v>
      </c>
      <c r="S13" s="18">
        <v>130</v>
      </c>
    </row>
    <row r="14" spans="1:19" ht="60" customHeight="1">
      <c r="A14" s="209"/>
      <c r="B14" s="264"/>
      <c r="C14" s="100" t="s">
        <v>66</v>
      </c>
      <c r="D14" s="90" t="s">
        <v>18</v>
      </c>
      <c r="E14" s="23">
        <v>30</v>
      </c>
      <c r="F14" s="24" t="s">
        <v>19</v>
      </c>
      <c r="G14" s="25">
        <v>60</v>
      </c>
      <c r="H14" s="9"/>
      <c r="I14" s="89" t="str">
        <f>IF(H14="","",H14*152)</f>
        <v/>
      </c>
      <c r="J14" s="18" t="str">
        <f t="shared" si="0"/>
        <v/>
      </c>
      <c r="K14" s="2" t="str">
        <f t="shared" si="3"/>
        <v/>
      </c>
      <c r="L14" s="172" t="str">
        <f>IFERROR(IF(I14&lt;R14,"鹽酸(38%)："&amp;ROUND((((R14-I14)/1000000)*Q14*0.36*1000),1)&amp;" ml",IF(I14="","",IF(I14&gt;S14,"通知工程師 ",""))),"")</f>
        <v/>
      </c>
      <c r="M14" s="9"/>
      <c r="N14" s="89" t="str">
        <f>IF(M14="","",M14*152)</f>
        <v/>
      </c>
      <c r="O14" s="18" t="str">
        <f t="shared" si="2"/>
        <v/>
      </c>
      <c r="P14" s="2" t="s">
        <v>203</v>
      </c>
      <c r="Q14" s="2">
        <v>3800</v>
      </c>
      <c r="R14" s="2">
        <v>45</v>
      </c>
      <c r="S14" s="18">
        <v>60</v>
      </c>
    </row>
    <row r="15" spans="1:19" ht="60" customHeight="1">
      <c r="A15" s="209"/>
      <c r="B15" s="264"/>
      <c r="C15" s="87" t="s">
        <v>67</v>
      </c>
      <c r="D15" s="90" t="s">
        <v>68</v>
      </c>
      <c r="E15" s="101">
        <v>10</v>
      </c>
      <c r="F15" s="102" t="s">
        <v>19</v>
      </c>
      <c r="G15" s="88">
        <v>20</v>
      </c>
      <c r="H15" s="5" t="s">
        <v>34</v>
      </c>
      <c r="I15" s="8"/>
      <c r="J15" s="18" t="str">
        <f t="shared" si="0"/>
        <v/>
      </c>
      <c r="K15" s="2" t="str">
        <f>IF(I15="","",IF(I15&gt;R15,"","添加"))</f>
        <v/>
      </c>
      <c r="L15" s="172"/>
      <c r="M15" s="5" t="s">
        <v>34</v>
      </c>
      <c r="N15" s="7"/>
      <c r="O15" s="18" t="str">
        <f t="shared" si="2"/>
        <v/>
      </c>
      <c r="P15" s="2" t="s">
        <v>186</v>
      </c>
      <c r="Q15" s="2">
        <v>3800</v>
      </c>
      <c r="R15" s="2">
        <v>15</v>
      </c>
      <c r="S15" s="18">
        <v>20</v>
      </c>
    </row>
    <row r="16" spans="1:19" ht="60" customHeight="1">
      <c r="A16" s="209"/>
      <c r="B16" s="265"/>
      <c r="C16" s="86" t="s">
        <v>69</v>
      </c>
      <c r="D16" s="90" t="s">
        <v>70</v>
      </c>
      <c r="E16" s="101">
        <v>0.5</v>
      </c>
      <c r="F16" s="102" t="s">
        <v>19</v>
      </c>
      <c r="G16" s="88">
        <v>1.5</v>
      </c>
      <c r="H16" s="5" t="s">
        <v>34</v>
      </c>
      <c r="I16" s="6"/>
      <c r="J16" s="18" t="str">
        <f t="shared" si="0"/>
        <v/>
      </c>
      <c r="K16" s="2" t="str">
        <f>IF(I16="","",IF(I16&gt;R16,"","添加"))</f>
        <v/>
      </c>
      <c r="L16" s="172"/>
      <c r="M16" s="5" t="s">
        <v>34</v>
      </c>
      <c r="N16" s="7"/>
      <c r="O16" s="18" t="str">
        <f t="shared" si="2"/>
        <v/>
      </c>
      <c r="P16" s="2" t="s">
        <v>187</v>
      </c>
      <c r="Q16" s="2">
        <v>3800</v>
      </c>
      <c r="R16" s="2">
        <v>1</v>
      </c>
      <c r="S16" s="18">
        <v>1.5</v>
      </c>
    </row>
    <row r="17" spans="1:17" ht="18" customHeight="1">
      <c r="A17" s="33" t="s">
        <v>23</v>
      </c>
      <c r="B17" s="34"/>
      <c r="C17" s="34"/>
      <c r="D17" s="34"/>
      <c r="E17" s="34"/>
      <c r="F17" s="34"/>
      <c r="G17" s="34"/>
      <c r="H17" s="34"/>
      <c r="I17" s="34"/>
      <c r="J17" s="35"/>
    </row>
    <row r="18" spans="1:17" ht="18" customHeight="1">
      <c r="A18" s="19"/>
      <c r="B18" s="15"/>
      <c r="D18" s="15"/>
      <c r="E18" s="15"/>
      <c r="F18" s="15"/>
      <c r="G18" s="15"/>
      <c r="H18" s="15"/>
      <c r="I18" s="15"/>
      <c r="J18" s="36"/>
    </row>
    <row r="19" spans="1:17" ht="18" customHeight="1">
      <c r="A19" s="238"/>
      <c r="B19" s="239"/>
      <c r="C19" s="239"/>
      <c r="D19" s="239"/>
      <c r="E19" s="239"/>
      <c r="F19" s="239"/>
      <c r="G19" s="239"/>
      <c r="H19" s="239"/>
      <c r="I19" s="239"/>
      <c r="J19" s="266"/>
    </row>
    <row r="20" spans="1:17" ht="18" customHeight="1">
      <c r="A20" s="267"/>
      <c r="B20" s="268"/>
      <c r="C20" s="268"/>
      <c r="D20" s="268"/>
      <c r="E20" s="268"/>
      <c r="F20" s="268"/>
      <c r="G20" s="268"/>
      <c r="H20" s="268"/>
      <c r="I20" s="268"/>
      <c r="J20" s="269"/>
    </row>
    <row r="21" spans="1:17" ht="18" customHeight="1">
      <c r="A21" s="37" t="s">
        <v>25</v>
      </c>
      <c r="C21" s="38" t="s">
        <v>26</v>
      </c>
      <c r="H21" s="38" t="s">
        <v>27</v>
      </c>
    </row>
    <row r="22" spans="1:17" s="14" customFormat="1" ht="18" customHeight="1">
      <c r="C22" s="15"/>
      <c r="J22" s="15"/>
      <c r="K22" s="16"/>
      <c r="P22" s="16"/>
      <c r="Q22" s="16"/>
    </row>
    <row r="23" spans="1:17" s="14" customFormat="1" ht="18" customHeight="1">
      <c r="C23" s="15"/>
      <c r="J23" s="15"/>
      <c r="K23" s="16"/>
      <c r="P23" s="16"/>
      <c r="Q23" s="16"/>
    </row>
  </sheetData>
  <sheetProtection algorithmName="SHA-512" hashValue="m766/zjMIaAjR9U8KvaRaNsg/X2DQ0kxg1lTtkMYQCQ93cOm/FKePm3GXBEaX4Y88wokIn45j+1rIP7UlEErTQ==" saltValue="30EW9mqFj9ms2bgB/mXoNQ==" spinCount="100000" sheet="1" objects="1" scenarios="1"/>
  <mergeCells count="10">
    <mergeCell ref="E6:G6"/>
    <mergeCell ref="A7:A16"/>
    <mergeCell ref="B7:B11"/>
    <mergeCell ref="B12:B16"/>
    <mergeCell ref="A19:J20"/>
    <mergeCell ref="A1:I1"/>
    <mergeCell ref="A2:J2"/>
    <mergeCell ref="B3:J3"/>
    <mergeCell ref="B4:J4"/>
    <mergeCell ref="B5:J5"/>
  </mergeCells>
  <phoneticPr fontId="18" type="noConversion"/>
  <conditionalFormatting sqref="J7:J16">
    <cfRule type="containsText" dxfId="13" priority="9" operator="containsText" text="NG">
      <formula>NOT(ISERROR(SEARCH("NG",J7)))</formula>
    </cfRule>
  </conditionalFormatting>
  <conditionalFormatting sqref="K7:K9">
    <cfRule type="containsText" dxfId="12" priority="3" operator="containsText" text="NG">
      <formula>NOT(ISERROR(SEARCH("NG",K7)))</formula>
    </cfRule>
  </conditionalFormatting>
  <conditionalFormatting sqref="K12:K14">
    <cfRule type="containsText" dxfId="11" priority="2" operator="containsText" text="NG">
      <formula>NOT(ISERROR(SEARCH("NG",K12)))</formula>
    </cfRule>
  </conditionalFormatting>
  <conditionalFormatting sqref="O7:O16">
    <cfRule type="containsText" dxfId="10" priority="1" operator="containsText" text="NG">
      <formula>NOT(ISERROR(SEARCH("NG",O7)))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T23"/>
  <sheetViews>
    <sheetView showGridLines="0" zoomScale="40" zoomScaleNormal="40" workbookViewId="0">
      <selection activeCell="H7" sqref="H7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21.625" style="14" customWidth="1"/>
    <col min="10" max="10" width="21.625" style="15" customWidth="1"/>
    <col min="11" max="11" width="21.625" style="16" customWidth="1"/>
    <col min="12" max="12" width="50.625" style="17" customWidth="1"/>
    <col min="13" max="15" width="21.625" style="17" customWidth="1"/>
    <col min="16" max="16" width="30.625" style="16" customWidth="1"/>
    <col min="17" max="17" width="21.625" style="16" customWidth="1"/>
    <col min="18" max="19" width="21.625" style="17" customWidth="1"/>
    <col min="20" max="22" width="30.625" style="17" customWidth="1"/>
    <col min="23" max="16384" width="9" style="17"/>
  </cols>
  <sheetData>
    <row r="1" spans="1:20" ht="27.75" customHeight="1">
      <c r="A1" s="200"/>
      <c r="B1" s="200"/>
      <c r="C1" s="200"/>
      <c r="D1" s="200"/>
      <c r="E1" s="200"/>
      <c r="F1" s="200"/>
      <c r="G1" s="200"/>
      <c r="H1" s="200"/>
      <c r="I1" s="200"/>
    </row>
    <row r="2" spans="1:20" ht="50.25">
      <c r="A2" s="201" t="s">
        <v>0</v>
      </c>
      <c r="B2" s="201"/>
      <c r="C2" s="201"/>
      <c r="D2" s="201"/>
      <c r="E2" s="201"/>
      <c r="F2" s="201"/>
      <c r="G2" s="201"/>
      <c r="H2" s="201"/>
      <c r="I2" s="201"/>
      <c r="J2" s="201"/>
    </row>
    <row r="3" spans="1:20" ht="35.1" customHeight="1">
      <c r="A3" s="18" t="s">
        <v>1</v>
      </c>
      <c r="B3" s="202" t="s">
        <v>216</v>
      </c>
      <c r="C3" s="203"/>
      <c r="D3" s="203"/>
      <c r="E3" s="203"/>
      <c r="F3" s="203"/>
      <c r="G3" s="203"/>
      <c r="H3" s="203"/>
      <c r="I3" s="203"/>
      <c r="J3" s="204"/>
    </row>
    <row r="4" spans="1:20" ht="35.1" customHeight="1">
      <c r="A4" s="18" t="s">
        <v>2</v>
      </c>
      <c r="B4" s="260"/>
      <c r="C4" s="261"/>
      <c r="D4" s="261"/>
      <c r="E4" s="261"/>
      <c r="F4" s="261"/>
      <c r="G4" s="261"/>
      <c r="H4" s="261"/>
      <c r="I4" s="261"/>
      <c r="J4" s="262"/>
    </row>
    <row r="5" spans="1:20" ht="35.1" customHeight="1">
      <c r="A5" s="18" t="s">
        <v>3</v>
      </c>
      <c r="B5" s="202"/>
      <c r="C5" s="203"/>
      <c r="D5" s="203"/>
      <c r="E5" s="203"/>
      <c r="F5" s="203"/>
      <c r="G5" s="203"/>
      <c r="H5" s="203"/>
      <c r="I5" s="203"/>
      <c r="J5" s="204"/>
      <c r="K5" s="19"/>
      <c r="M5" s="163" t="s">
        <v>206</v>
      </c>
      <c r="N5" s="163"/>
      <c r="O5" s="163"/>
      <c r="P5" s="15"/>
      <c r="Q5" s="15"/>
    </row>
    <row r="6" spans="1:20" ht="35.1" customHeight="1">
      <c r="A6" s="18" t="s">
        <v>1</v>
      </c>
      <c r="B6" s="18" t="s">
        <v>4</v>
      </c>
      <c r="C6" s="20" t="s">
        <v>5</v>
      </c>
      <c r="D6" s="20" t="s">
        <v>6</v>
      </c>
      <c r="E6" s="270" t="s">
        <v>7</v>
      </c>
      <c r="F6" s="253"/>
      <c r="G6" s="254"/>
      <c r="H6" s="20" t="s">
        <v>8</v>
      </c>
      <c r="I6" s="21" t="s">
        <v>9</v>
      </c>
      <c r="J6" s="20" t="s">
        <v>10</v>
      </c>
      <c r="K6" s="22" t="s">
        <v>11</v>
      </c>
      <c r="L6" s="22" t="s">
        <v>13</v>
      </c>
      <c r="M6" s="20" t="s">
        <v>8</v>
      </c>
      <c r="N6" s="20" t="s">
        <v>9</v>
      </c>
      <c r="O6" s="47" t="s">
        <v>10</v>
      </c>
      <c r="P6" s="22" t="s">
        <v>12</v>
      </c>
      <c r="Q6" s="22" t="s">
        <v>74</v>
      </c>
      <c r="R6" s="22" t="s">
        <v>15</v>
      </c>
      <c r="S6" s="22" t="s">
        <v>75</v>
      </c>
    </row>
    <row r="7" spans="1:20" ht="60" customHeight="1">
      <c r="A7" s="208" t="s">
        <v>254</v>
      </c>
      <c r="B7" s="83" t="s">
        <v>76</v>
      </c>
      <c r="C7" s="84" t="s">
        <v>77</v>
      </c>
      <c r="D7" s="18" t="s">
        <v>78</v>
      </c>
      <c r="E7" s="23">
        <v>15</v>
      </c>
      <c r="F7" s="24" t="s">
        <v>19</v>
      </c>
      <c r="G7" s="25">
        <v>25</v>
      </c>
      <c r="H7" s="9"/>
      <c r="I7" s="3" t="str">
        <f>IF(H7="","",H7*6.2*F值!$B$3)</f>
        <v/>
      </c>
      <c r="J7" s="18" t="str">
        <f>IF(I7="","",IF(OR(I7&lt;E7,I7&gt;G7),"NG","OK"))</f>
        <v/>
      </c>
      <c r="K7" s="22" t="str">
        <f t="shared" ref="K7:K15" si="0">IF(I7="","",IF(I7&lt;R7,"添加",IF(I7&gt;S7,"稀釋","")))</f>
        <v/>
      </c>
      <c r="L7" s="91" t="str">
        <f>IFERROR(IF(I7&gt;S7,"排液："&amp;ROUND(664*(1-20/I7),0)&amp;" L"&amp;"
補水："&amp;ROUND(664*(1-20/I7),0)&amp;" L",IF(I7&lt;R7,"硫酸："&amp;ROUND((20-I7)*664/1000/0.5,1)&amp;" L","")),"")</f>
        <v/>
      </c>
      <c r="M7" s="9"/>
      <c r="N7" s="89" t="str">
        <f>IF(M7="","",M7*6.2*F值!$B$3)</f>
        <v/>
      </c>
      <c r="O7" s="18" t="str">
        <f>IF(N7="","",IF(OR(N7&lt;E7,N7&gt;G7),"NG","OK"))</f>
        <v/>
      </c>
      <c r="P7" s="22" t="s">
        <v>79</v>
      </c>
      <c r="Q7" s="22">
        <v>664</v>
      </c>
      <c r="R7" s="22">
        <v>18</v>
      </c>
      <c r="S7" s="18">
        <v>23</v>
      </c>
    </row>
    <row r="8" spans="1:20" ht="60" customHeight="1">
      <c r="A8" s="209"/>
      <c r="B8" s="85" t="s">
        <v>80</v>
      </c>
      <c r="C8" s="86" t="s">
        <v>81</v>
      </c>
      <c r="D8" s="18" t="s">
        <v>82</v>
      </c>
      <c r="E8" s="23">
        <v>4</v>
      </c>
      <c r="F8" s="24" t="s">
        <v>19</v>
      </c>
      <c r="G8" s="25">
        <v>8</v>
      </c>
      <c r="H8" s="9"/>
      <c r="I8" s="3" t="str">
        <f>IF(H8="","",H8*2.663*F值!$B$3)</f>
        <v/>
      </c>
      <c r="J8" s="18" t="str">
        <f t="shared" ref="J8:J16" si="1">IF(I8="","",IF(OR(I8&lt;E8,I8&gt;G8),"NG","OK"))</f>
        <v/>
      </c>
      <c r="K8" s="22" t="str">
        <f t="shared" si="0"/>
        <v/>
      </c>
      <c r="L8" s="91" t="str">
        <f>IFERROR(IF(I8&gt;S8,"排液："&amp;ROUND(664*(1-5/I8),0)&amp;" L"&amp;"
補水："&amp;ROUND(664*(1-5/I8),0)&amp;" L",IF(I8&lt;R8,"硫酸："&amp;ROUND((5-I8)*664/100/0.5,1)&amp;" L","")),"")</f>
        <v/>
      </c>
      <c r="M8" s="9"/>
      <c r="N8" s="89" t="str">
        <f>IF(M8="","",M8*2.663*F值!$B$3)</f>
        <v/>
      </c>
      <c r="O8" s="18" t="str">
        <f t="shared" ref="O8:O16" si="2">IF(N8="","",IF(OR(N8&lt;E8,N8&gt;G8),"NG","OK"))</f>
        <v/>
      </c>
      <c r="P8" s="22" t="s">
        <v>79</v>
      </c>
      <c r="Q8" s="22">
        <v>664</v>
      </c>
      <c r="R8" s="22">
        <v>4</v>
      </c>
      <c r="S8" s="18">
        <v>6</v>
      </c>
    </row>
    <row r="9" spans="1:20" ht="60" customHeight="1">
      <c r="A9" s="209"/>
      <c r="B9" s="263" t="s">
        <v>83</v>
      </c>
      <c r="C9" s="87" t="s">
        <v>79</v>
      </c>
      <c r="D9" s="26" t="s">
        <v>84</v>
      </c>
      <c r="E9" s="30">
        <v>160</v>
      </c>
      <c r="F9" s="24" t="s">
        <v>19</v>
      </c>
      <c r="G9" s="31">
        <v>200</v>
      </c>
      <c r="H9" s="9"/>
      <c r="I9" s="3" t="str">
        <f>IF(H9="","",H9*24.5*F值!$B$3)</f>
        <v/>
      </c>
      <c r="J9" s="18" t="str">
        <f t="shared" si="1"/>
        <v/>
      </c>
      <c r="K9" s="22" t="str">
        <f t="shared" si="0"/>
        <v/>
      </c>
      <c r="L9" s="91" t="str">
        <f>IFERROR(IF(I9&gt;S9,"排液："&amp;ROUND(7000*(1-180/I9),0)&amp;" L"&amp;"
補水："&amp;ROUND(7000*(1-180/I9),0)&amp;" L",IF(I9&lt;R9,"硫酸："&amp;ROUND((180-I9)*7000/1400/0.5,1)&amp;" L","")),"")</f>
        <v/>
      </c>
      <c r="M9" s="9"/>
      <c r="N9" s="89" t="str">
        <f>IF(M9="","",M9*24.5*F值!$B$3)</f>
        <v/>
      </c>
      <c r="O9" s="18" t="str">
        <f t="shared" si="2"/>
        <v/>
      </c>
      <c r="P9" s="22" t="s">
        <v>79</v>
      </c>
      <c r="Q9" s="22">
        <v>7000</v>
      </c>
      <c r="R9" s="22">
        <v>160</v>
      </c>
      <c r="S9" s="18">
        <v>200</v>
      </c>
    </row>
    <row r="10" spans="1:20" ht="60" customHeight="1">
      <c r="A10" s="209"/>
      <c r="B10" s="264"/>
      <c r="C10" s="87" t="s">
        <v>85</v>
      </c>
      <c r="D10" s="20" t="s">
        <v>86</v>
      </c>
      <c r="E10" s="23">
        <v>85</v>
      </c>
      <c r="F10" s="24" t="s">
        <v>19</v>
      </c>
      <c r="G10" s="88">
        <v>115</v>
      </c>
      <c r="H10" s="9"/>
      <c r="I10" s="89" t="str">
        <f>IF(H10="","",H10*6.25*F值!$B$6)</f>
        <v/>
      </c>
      <c r="J10" s="18" t="str">
        <f t="shared" si="1"/>
        <v/>
      </c>
      <c r="K10" s="22" t="str">
        <f t="shared" si="0"/>
        <v/>
      </c>
      <c r="L10" s="91" t="str">
        <f>IFERROR(IF(I10&gt;S10,"排液："&amp;ROUND(7000*(1-100/I10),0)&amp;" Kg"&amp;"
補水："&amp;ROUND(7000*(1-100/I10),0)&amp;" Kg",IF(I10&lt;R10,"氧化銅："&amp;ROUND((100-I10)*7000/1000/0.799*0.9,1)&amp;" Kg","")),"")</f>
        <v/>
      </c>
      <c r="M10" s="9"/>
      <c r="N10" s="89" t="str">
        <f>IF(M10="","",M10*6.25*F值!$B$6)</f>
        <v/>
      </c>
      <c r="O10" s="18" t="str">
        <f t="shared" si="2"/>
        <v/>
      </c>
      <c r="P10" s="22" t="s">
        <v>87</v>
      </c>
      <c r="Q10" s="22">
        <v>7000</v>
      </c>
      <c r="R10" s="22">
        <v>85</v>
      </c>
      <c r="S10" s="18">
        <v>115</v>
      </c>
    </row>
    <row r="11" spans="1:20" ht="60" customHeight="1">
      <c r="A11" s="209"/>
      <c r="B11" s="264"/>
      <c r="C11" s="87" t="s">
        <v>88</v>
      </c>
      <c r="D11" s="90" t="s">
        <v>89</v>
      </c>
      <c r="E11" s="23">
        <v>40</v>
      </c>
      <c r="F11" s="24" t="s">
        <v>19</v>
      </c>
      <c r="G11" s="25">
        <v>60</v>
      </c>
      <c r="H11" s="9"/>
      <c r="I11" s="89" t="str">
        <f>IF(H11="","",H11*152)</f>
        <v/>
      </c>
      <c r="J11" s="18" t="str">
        <f t="shared" si="1"/>
        <v/>
      </c>
      <c r="K11" s="22" t="str">
        <f t="shared" si="0"/>
        <v/>
      </c>
      <c r="L11" s="91" t="str">
        <f>IFERROR(IF(I11&gt;S11,"排液："&amp;ROUND(7000*(1-50/I11),0)&amp;" L"&amp;"
補水："&amp;ROUND(7000*(1-50/I11),0)&amp;" L",IF(I11&lt;R11,"鹽酸："&amp;ROUND((50-I11)/0.0573,0)&amp;" mL","")),"")</f>
        <v/>
      </c>
      <c r="M11" s="9"/>
      <c r="N11" s="89" t="str">
        <f>IF(M11="","",M11*152)</f>
        <v/>
      </c>
      <c r="O11" s="18" t="str">
        <f t="shared" si="2"/>
        <v/>
      </c>
      <c r="P11" s="22" t="s">
        <v>90</v>
      </c>
      <c r="Q11" s="22">
        <v>7000</v>
      </c>
      <c r="R11" s="22">
        <v>40</v>
      </c>
      <c r="S11" s="18">
        <v>60</v>
      </c>
    </row>
    <row r="12" spans="1:20" ht="60" customHeight="1">
      <c r="A12" s="209"/>
      <c r="B12" s="264"/>
      <c r="C12" s="87" t="s">
        <v>91</v>
      </c>
      <c r="D12" s="20" t="s">
        <v>92</v>
      </c>
      <c r="E12" s="92">
        <v>8</v>
      </c>
      <c r="F12" s="24" t="s">
        <v>19</v>
      </c>
      <c r="G12" s="93">
        <v>12</v>
      </c>
      <c r="H12" s="5" t="s">
        <v>34</v>
      </c>
      <c r="I12" s="8"/>
      <c r="J12" s="18" t="str">
        <f t="shared" si="1"/>
        <v/>
      </c>
      <c r="K12" s="22" t="str">
        <f t="shared" si="0"/>
        <v/>
      </c>
      <c r="L12" s="91" t="str">
        <f>IF(I12="","",IF(I12&gt;S12,"排液："&amp;ROUND(7000*(1-10/I12),0)&amp;" L"&amp;"
補水："&amp;ROUND(7000*(1-10/I12),0)&amp;" L",IF(I12&lt;R12,"51SF："&amp;ROUND((10-I12)*7000/1000,1)&amp;" L","")))</f>
        <v/>
      </c>
      <c r="M12" s="171" t="s">
        <v>34</v>
      </c>
      <c r="N12" s="7"/>
      <c r="O12" s="18" t="str">
        <f t="shared" si="2"/>
        <v/>
      </c>
      <c r="P12" s="22" t="s">
        <v>93</v>
      </c>
      <c r="Q12" s="22">
        <v>7000</v>
      </c>
      <c r="R12" s="22">
        <v>8</v>
      </c>
      <c r="S12" s="18">
        <v>12</v>
      </c>
      <c r="T12" s="14"/>
    </row>
    <row r="13" spans="1:20" ht="60" customHeight="1">
      <c r="A13" s="209"/>
      <c r="B13" s="265"/>
      <c r="C13" s="87" t="s">
        <v>94</v>
      </c>
      <c r="D13" s="26" t="s">
        <v>95</v>
      </c>
      <c r="E13" s="30">
        <v>0.7</v>
      </c>
      <c r="F13" s="24" t="s">
        <v>19</v>
      </c>
      <c r="G13" s="31">
        <v>1.3</v>
      </c>
      <c r="H13" s="5" t="s">
        <v>34</v>
      </c>
      <c r="I13" s="94"/>
      <c r="J13" s="18" t="str">
        <f t="shared" si="1"/>
        <v/>
      </c>
      <c r="K13" s="22" t="str">
        <f t="shared" si="0"/>
        <v/>
      </c>
      <c r="L13" s="91" t="str">
        <f>IF(I13="","",IF(I13&gt;S13,"排液："&amp;ROUND(7000*(1-1/I13),0)&amp;" L"&amp;"
補水："&amp;ROUND(7000*(1-1/I13),0)&amp;" L",IF(I13&lt;R13,"STB："&amp;ROUND((1-I13)*7000,1)&amp;" mL","")))</f>
        <v/>
      </c>
      <c r="M13" s="171" t="s">
        <v>34</v>
      </c>
      <c r="N13" s="7"/>
      <c r="O13" s="18" t="str">
        <f t="shared" si="2"/>
        <v/>
      </c>
      <c r="P13" s="22" t="s">
        <v>94</v>
      </c>
      <c r="Q13" s="22">
        <v>7000</v>
      </c>
      <c r="R13" s="22">
        <v>0.7</v>
      </c>
      <c r="S13" s="18">
        <v>1.3</v>
      </c>
      <c r="T13" s="14"/>
    </row>
    <row r="14" spans="1:20" ht="60" customHeight="1">
      <c r="A14" s="209"/>
      <c r="B14" s="272" t="s">
        <v>96</v>
      </c>
      <c r="C14" s="87" t="s">
        <v>79</v>
      </c>
      <c r="D14" s="20" t="s">
        <v>97</v>
      </c>
      <c r="E14" s="23">
        <v>100</v>
      </c>
      <c r="F14" s="24" t="s">
        <v>19</v>
      </c>
      <c r="G14" s="88">
        <v>200</v>
      </c>
      <c r="H14" s="9"/>
      <c r="I14" s="89" t="str">
        <f>IF(H14="","",H14*24.5*F值!$B$3)</f>
        <v/>
      </c>
      <c r="J14" s="18" t="str">
        <f t="shared" si="1"/>
        <v/>
      </c>
      <c r="K14" s="22" t="str">
        <f t="shared" si="0"/>
        <v/>
      </c>
      <c r="L14" s="91" t="str">
        <f>IFERROR(IF(I14&gt;S14,"排液："&amp;ROUND(813*(1-150/I14),0)&amp;" L"&amp;"
補水："&amp;ROUND(813*(1-150/I14),0)&amp;" L",IF(I14&lt;R14,"硫酸："&amp;ROUND((150-I14)*813/1400/0.5,1)&amp;" L","")),"")</f>
        <v/>
      </c>
      <c r="M14" s="9"/>
      <c r="N14" s="89" t="str">
        <f>IF(M14="","",M14*24.5*F值!$B$3)</f>
        <v/>
      </c>
      <c r="O14" s="18" t="str">
        <f t="shared" si="2"/>
        <v/>
      </c>
      <c r="P14" s="22" t="s">
        <v>79</v>
      </c>
      <c r="Q14" s="22">
        <v>813</v>
      </c>
      <c r="R14" s="22">
        <v>100</v>
      </c>
      <c r="S14" s="18">
        <v>200</v>
      </c>
    </row>
    <row r="15" spans="1:20" ht="60" customHeight="1">
      <c r="A15" s="209"/>
      <c r="B15" s="273"/>
      <c r="C15" s="87" t="s">
        <v>98</v>
      </c>
      <c r="D15" s="90" t="s">
        <v>99</v>
      </c>
      <c r="E15" s="95">
        <v>120</v>
      </c>
      <c r="F15" s="24" t="s">
        <v>19</v>
      </c>
      <c r="G15" s="96">
        <v>160</v>
      </c>
      <c r="H15" s="12"/>
      <c r="I15" s="3" t="str">
        <f>IF(H15="","",H15*9.714*F值!$B$7)</f>
        <v/>
      </c>
      <c r="J15" s="18" t="str">
        <f t="shared" si="1"/>
        <v/>
      </c>
      <c r="K15" s="22" t="str">
        <f t="shared" si="0"/>
        <v/>
      </c>
      <c r="L15" s="91" t="str">
        <f>IFERROR(IF(I15&gt;S15,"排液："&amp;ROUND(813*(1-140/I15),0)&amp;" L"&amp;"
補水："&amp;ROUND(813*(1-140/I15),0)&amp;" L",IF(I15&lt;R15,"雙氧水："&amp;ROUND((140-I15)*813/1140,1)&amp;" L","")),"")</f>
        <v/>
      </c>
      <c r="M15" s="12"/>
      <c r="N15" s="89" t="str">
        <f>IF(M15="","",M15*9.714*F值!$B$7)</f>
        <v/>
      </c>
      <c r="O15" s="18" t="str">
        <f t="shared" si="2"/>
        <v/>
      </c>
      <c r="P15" s="22" t="s">
        <v>98</v>
      </c>
      <c r="Q15" s="22">
        <v>813</v>
      </c>
      <c r="R15" s="22">
        <v>120</v>
      </c>
      <c r="S15" s="18">
        <v>160</v>
      </c>
    </row>
    <row r="16" spans="1:20" ht="60" customHeight="1">
      <c r="A16" s="271"/>
      <c r="B16" s="274"/>
      <c r="C16" s="87" t="s">
        <v>85</v>
      </c>
      <c r="D16" s="90" t="s">
        <v>45</v>
      </c>
      <c r="E16" s="97">
        <v>0</v>
      </c>
      <c r="F16" s="24" t="s">
        <v>19</v>
      </c>
      <c r="G16" s="96">
        <v>100</v>
      </c>
      <c r="H16" s="9"/>
      <c r="I16" s="3" t="str">
        <f>IF(H16="","",H16*6.354*F值!$B$6)</f>
        <v/>
      </c>
      <c r="J16" s="18" t="str">
        <f t="shared" si="1"/>
        <v/>
      </c>
      <c r="K16" s="22" t="str">
        <f>IF(I16="","",IF(I16&gt;S16,"更槽",""))</f>
        <v/>
      </c>
      <c r="L16" s="91"/>
      <c r="M16" s="9"/>
      <c r="N16" s="89" t="str">
        <f>IF(M16="","",M16*6.354*F值!$B$6)</f>
        <v/>
      </c>
      <c r="O16" s="18" t="str">
        <f t="shared" si="2"/>
        <v/>
      </c>
      <c r="P16" s="118" t="s">
        <v>170</v>
      </c>
      <c r="Q16" s="22">
        <v>813</v>
      </c>
      <c r="R16" s="22" t="s">
        <v>100</v>
      </c>
      <c r="S16" s="18">
        <v>100</v>
      </c>
    </row>
    <row r="17" spans="1:17" ht="18" customHeight="1">
      <c r="A17" s="33" t="s">
        <v>23</v>
      </c>
      <c r="B17" s="34"/>
      <c r="C17" s="34"/>
      <c r="D17" s="34"/>
      <c r="E17" s="34"/>
      <c r="F17" s="34"/>
      <c r="G17" s="34"/>
      <c r="H17" s="34"/>
      <c r="I17" s="34"/>
      <c r="J17" s="35"/>
    </row>
    <row r="18" spans="1:17" ht="18" customHeight="1">
      <c r="A18" s="19"/>
      <c r="B18" s="15"/>
      <c r="D18" s="15"/>
      <c r="E18" s="15"/>
      <c r="F18" s="15"/>
      <c r="G18" s="15"/>
      <c r="H18" s="15"/>
      <c r="I18" s="15"/>
      <c r="J18" s="36"/>
    </row>
    <row r="19" spans="1:17" ht="18" customHeight="1">
      <c r="A19" s="238"/>
      <c r="B19" s="239"/>
      <c r="C19" s="239"/>
      <c r="D19" s="239"/>
      <c r="E19" s="239"/>
      <c r="F19" s="239"/>
      <c r="G19" s="239"/>
      <c r="H19" s="239"/>
      <c r="I19" s="239"/>
      <c r="J19" s="266"/>
    </row>
    <row r="20" spans="1:17" ht="18" customHeight="1">
      <c r="A20" s="267"/>
      <c r="B20" s="268"/>
      <c r="C20" s="268"/>
      <c r="D20" s="268"/>
      <c r="E20" s="268"/>
      <c r="F20" s="268"/>
      <c r="G20" s="268"/>
      <c r="H20" s="268"/>
      <c r="I20" s="268"/>
      <c r="J20" s="269"/>
    </row>
    <row r="21" spans="1:17" ht="18" customHeight="1">
      <c r="A21" s="37" t="s">
        <v>25</v>
      </c>
      <c r="C21" s="38" t="s">
        <v>26</v>
      </c>
      <c r="H21" s="38" t="s">
        <v>27</v>
      </c>
    </row>
    <row r="22" spans="1:17" s="14" customFormat="1" ht="18" customHeight="1">
      <c r="C22" s="15"/>
      <c r="J22" s="15"/>
      <c r="K22" s="16"/>
      <c r="P22" s="16"/>
      <c r="Q22" s="16"/>
    </row>
    <row r="23" spans="1:17" s="14" customFormat="1" ht="18" customHeight="1">
      <c r="C23" s="15"/>
      <c r="J23" s="15"/>
      <c r="K23" s="16"/>
      <c r="P23" s="16"/>
      <c r="Q23" s="16"/>
    </row>
  </sheetData>
  <sheetProtection algorithmName="SHA-512" hashValue="LM8Gpdg8SSxx0RlwtGDh50I5r92AINRInTZBPs8917EmojyBTzpzvNgZLnz+vC7z0yL4IBVoK4Yl+0XJBsTdqQ==" saltValue="budLLCqK7lBb2I7lvpACew==" spinCount="100000" sheet="1" objects="1" scenarios="1"/>
  <mergeCells count="10">
    <mergeCell ref="E6:G6"/>
    <mergeCell ref="A7:A16"/>
    <mergeCell ref="B9:B13"/>
    <mergeCell ref="B14:B16"/>
    <mergeCell ref="A19:J20"/>
    <mergeCell ref="A1:I1"/>
    <mergeCell ref="A2:J2"/>
    <mergeCell ref="B3:J3"/>
    <mergeCell ref="B4:J4"/>
    <mergeCell ref="B5:J5"/>
  </mergeCells>
  <phoneticPr fontId="18" type="noConversion"/>
  <conditionalFormatting sqref="J7:J16">
    <cfRule type="containsText" dxfId="9" priority="3" operator="containsText" text="NG">
      <formula>NOT(ISERROR(SEARCH("NG",J7)))</formula>
    </cfRule>
  </conditionalFormatting>
  <conditionalFormatting sqref="O7:O16">
    <cfRule type="containsText" dxfId="8" priority="1" operator="containsText" text="NG">
      <formula>NOT(ISERROR(SEARCH("NG",O7)))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S24"/>
  <sheetViews>
    <sheetView showGridLines="0" zoomScale="40" zoomScaleNormal="40" workbookViewId="0">
      <selection activeCell="L7" sqref="L7"/>
    </sheetView>
  </sheetViews>
  <sheetFormatPr defaultColWidth="9" defaultRowHeight="30"/>
  <cols>
    <col min="1" max="1" width="14.25" style="39" customWidth="1"/>
    <col min="2" max="2" width="27.875" style="39" customWidth="1"/>
    <col min="3" max="3" width="28.875" style="40" customWidth="1"/>
    <col min="4" max="4" width="21.625" style="39" customWidth="1"/>
    <col min="5" max="5" width="10.625" style="39" customWidth="1"/>
    <col min="6" max="6" width="7.625" style="39" customWidth="1"/>
    <col min="7" max="7" width="10.625" style="39" customWidth="1"/>
    <col min="8" max="9" width="21.625" style="39" customWidth="1"/>
    <col min="10" max="10" width="21.625" style="40" customWidth="1"/>
    <col min="11" max="11" width="21.625" style="41" customWidth="1"/>
    <col min="12" max="12" width="50.625" style="42" customWidth="1"/>
    <col min="13" max="15" width="21.625" style="42" customWidth="1"/>
    <col min="16" max="16" width="30.625" style="41" customWidth="1"/>
    <col min="17" max="17" width="21.625" style="41" customWidth="1"/>
    <col min="18" max="18" width="21.625" style="42" customWidth="1"/>
    <col min="19" max="19" width="21.625" style="43" customWidth="1"/>
    <col min="20" max="22" width="30.625" style="43" customWidth="1"/>
    <col min="23" max="16384" width="9" style="43"/>
  </cols>
  <sheetData>
    <row r="1" spans="1:19" ht="27.95" customHeight="1">
      <c r="A1" s="275"/>
      <c r="B1" s="275"/>
      <c r="C1" s="275"/>
      <c r="D1" s="275"/>
      <c r="E1" s="275"/>
      <c r="F1" s="275"/>
      <c r="G1" s="275"/>
      <c r="H1" s="275"/>
      <c r="I1" s="275"/>
    </row>
    <row r="2" spans="1:19" ht="50.25">
      <c r="A2" s="276" t="s">
        <v>0</v>
      </c>
      <c r="B2" s="276"/>
      <c r="C2" s="276"/>
      <c r="D2" s="276"/>
      <c r="E2" s="276"/>
      <c r="F2" s="276"/>
      <c r="G2" s="276"/>
      <c r="H2" s="276"/>
      <c r="I2" s="276"/>
      <c r="J2" s="276"/>
      <c r="K2" s="44"/>
      <c r="L2" s="45"/>
      <c r="M2" s="45"/>
      <c r="N2" s="45"/>
      <c r="O2" s="45"/>
      <c r="P2" s="44"/>
      <c r="Q2" s="44"/>
      <c r="R2" s="45"/>
    </row>
    <row r="3" spans="1:19" ht="35.1" customHeight="1">
      <c r="A3" s="46" t="s">
        <v>1</v>
      </c>
      <c r="B3" s="277" t="s">
        <v>217</v>
      </c>
      <c r="C3" s="278"/>
      <c r="D3" s="278"/>
      <c r="E3" s="278"/>
      <c r="F3" s="278"/>
      <c r="G3" s="278"/>
      <c r="H3" s="278"/>
      <c r="I3" s="278"/>
      <c r="J3" s="279"/>
      <c r="K3" s="44"/>
      <c r="L3" s="45"/>
      <c r="M3" s="45"/>
      <c r="N3" s="45"/>
      <c r="O3" s="45"/>
      <c r="P3" s="44"/>
      <c r="Q3" s="44"/>
      <c r="R3" s="45"/>
    </row>
    <row r="4" spans="1:19" ht="35.1" customHeight="1">
      <c r="A4" s="46" t="s">
        <v>2</v>
      </c>
      <c r="B4" s="280"/>
      <c r="C4" s="281"/>
      <c r="D4" s="281"/>
      <c r="E4" s="281"/>
      <c r="F4" s="281"/>
      <c r="G4" s="281"/>
      <c r="H4" s="281"/>
      <c r="I4" s="281"/>
      <c r="J4" s="282"/>
      <c r="K4" s="44"/>
      <c r="L4" s="45"/>
      <c r="M4" s="45"/>
      <c r="N4" s="45"/>
      <c r="O4" s="45"/>
      <c r="P4" s="44"/>
      <c r="Q4" s="44"/>
      <c r="R4" s="45"/>
    </row>
    <row r="5" spans="1:19" ht="35.1" customHeight="1">
      <c r="A5" s="46" t="s">
        <v>3</v>
      </c>
      <c r="B5" s="277"/>
      <c r="C5" s="278"/>
      <c r="D5" s="278"/>
      <c r="E5" s="278"/>
      <c r="F5" s="278"/>
      <c r="G5" s="278"/>
      <c r="H5" s="278"/>
      <c r="I5" s="278"/>
      <c r="J5" s="279"/>
      <c r="K5" s="42"/>
      <c r="M5" s="163" t="s">
        <v>206</v>
      </c>
      <c r="N5" s="163"/>
      <c r="O5" s="163"/>
      <c r="P5" s="42"/>
      <c r="Q5" s="42"/>
    </row>
    <row r="6" spans="1:19" ht="35.1" customHeight="1">
      <c r="A6" s="46" t="s">
        <v>1</v>
      </c>
      <c r="B6" s="46" t="s">
        <v>4</v>
      </c>
      <c r="C6" s="47" t="s">
        <v>5</v>
      </c>
      <c r="D6" s="47" t="s">
        <v>6</v>
      </c>
      <c r="E6" s="205" t="s">
        <v>7</v>
      </c>
      <c r="F6" s="206"/>
      <c r="G6" s="207"/>
      <c r="H6" s="47" t="s">
        <v>8</v>
      </c>
      <c r="I6" s="48" t="s">
        <v>9</v>
      </c>
      <c r="J6" s="47" t="s">
        <v>10</v>
      </c>
      <c r="K6" s="22" t="s">
        <v>11</v>
      </c>
      <c r="L6" s="22" t="s">
        <v>13</v>
      </c>
      <c r="M6" s="47" t="s">
        <v>8</v>
      </c>
      <c r="N6" s="47" t="s">
        <v>9</v>
      </c>
      <c r="O6" s="47" t="s">
        <v>10</v>
      </c>
      <c r="P6" s="22" t="s">
        <v>12</v>
      </c>
      <c r="Q6" s="22" t="s">
        <v>74</v>
      </c>
      <c r="R6" s="22" t="s">
        <v>15</v>
      </c>
      <c r="S6" s="22" t="s">
        <v>75</v>
      </c>
    </row>
    <row r="7" spans="1:19" ht="60" customHeight="1">
      <c r="A7" s="283" t="s">
        <v>255</v>
      </c>
      <c r="B7" s="49" t="s">
        <v>76</v>
      </c>
      <c r="C7" s="50" t="s">
        <v>101</v>
      </c>
      <c r="D7" s="46" t="s">
        <v>102</v>
      </c>
      <c r="E7" s="51">
        <v>80</v>
      </c>
      <c r="F7" s="52" t="s">
        <v>19</v>
      </c>
      <c r="G7" s="53">
        <v>120</v>
      </c>
      <c r="H7" s="54"/>
      <c r="I7" s="55" t="str">
        <f>IF(H7="","",H7*8.48*F值!$B$3)</f>
        <v/>
      </c>
      <c r="J7" s="46" t="str">
        <f>IF(I7="","",IF(OR(I7&lt;E7,I7&gt;G7),"NG","OK"))</f>
        <v/>
      </c>
      <c r="K7" s="2" t="str">
        <f>IF(I7="","",IF(I7&lt;R7,"添加",IF(I7&gt;S7,"稀釋","")))</f>
        <v/>
      </c>
      <c r="L7" s="161" t="str">
        <f>IFERROR(IF(I7&gt;S7,"排液："&amp;ROUND(1100*(1-100/I7),0)&amp;" L"&amp;"
補水："&amp;ROUND(1100*(1-100/I7),0)&amp;" L",IF(I7&lt;R7,"DP333："&amp;ROUND((100-I7)*1100/1000,1)&amp;" L","")),"")</f>
        <v/>
      </c>
      <c r="M7" s="54"/>
      <c r="N7" s="64" t="str">
        <f>IF(M7="","",M7*8.48*F值!$B$3)</f>
        <v/>
      </c>
      <c r="O7" s="18" t="str">
        <f>IF(N7="","",IF(OR(N7&lt;E7,N7&gt;G7),"NG","OK"))</f>
        <v/>
      </c>
      <c r="P7" s="56" t="s">
        <v>103</v>
      </c>
      <c r="Q7" s="57">
        <v>1100</v>
      </c>
      <c r="R7" s="2">
        <v>80</v>
      </c>
      <c r="S7" s="46">
        <v>120</v>
      </c>
    </row>
    <row r="8" spans="1:19" ht="60" customHeight="1">
      <c r="A8" s="284"/>
      <c r="B8" s="58" t="s">
        <v>80</v>
      </c>
      <c r="C8" s="59" t="s">
        <v>104</v>
      </c>
      <c r="D8" s="46" t="s">
        <v>105</v>
      </c>
      <c r="E8" s="51">
        <v>4</v>
      </c>
      <c r="F8" s="52" t="s">
        <v>19</v>
      </c>
      <c r="G8" s="53">
        <v>6</v>
      </c>
      <c r="H8" s="54"/>
      <c r="I8" s="55" t="str">
        <f>IF(H8="","",H8*2.663*F值!$B$3)</f>
        <v/>
      </c>
      <c r="J8" s="46" t="str">
        <f t="shared" ref="J8:J17" si="0">IF(I8="","",IF(OR(I8&lt;E8,I8&gt;G8),"NG","OK"))</f>
        <v/>
      </c>
      <c r="K8" s="2" t="str">
        <f t="shared" ref="K8:K16" si="1">IF(I8="","",IF(I8&lt;R8,"添加",IF(I8&gt;S8,"稀釋","")))</f>
        <v/>
      </c>
      <c r="L8" s="161" t="str">
        <f>IFERROR(IF(I8&gt;S8,"排液："&amp;ROUND(600*(1-5/I8),0)&amp;" L"&amp;"
補水："&amp;ROUND(600*(1-5/I8),0)&amp;" L",IF(I8&lt;R8,"硫酸："&amp;ROUND((5-I8)*600/100/0.5,1)&amp;" L","")),"")</f>
        <v/>
      </c>
      <c r="M8" s="54"/>
      <c r="N8" s="64" t="str">
        <f>IF(M8="","",M8*2.663*F值!$B$3)</f>
        <v/>
      </c>
      <c r="O8" s="18" t="str">
        <f t="shared" ref="O8:O17" si="2">IF(N8="","",IF(OR(N8&lt;E8,N8&gt;G8),"NG","OK"))</f>
        <v/>
      </c>
      <c r="P8" s="56" t="s">
        <v>79</v>
      </c>
      <c r="Q8" s="57">
        <v>600</v>
      </c>
      <c r="R8" s="2">
        <v>4</v>
      </c>
      <c r="S8" s="46">
        <v>6</v>
      </c>
    </row>
    <row r="9" spans="1:19" ht="60" customHeight="1">
      <c r="A9" s="284"/>
      <c r="B9" s="286" t="s">
        <v>83</v>
      </c>
      <c r="C9" s="60" t="s">
        <v>79</v>
      </c>
      <c r="D9" s="61" t="s">
        <v>40</v>
      </c>
      <c r="E9" s="62">
        <v>90</v>
      </c>
      <c r="F9" s="52" t="s">
        <v>19</v>
      </c>
      <c r="G9" s="63">
        <v>110</v>
      </c>
      <c r="H9" s="54"/>
      <c r="I9" s="55" t="str">
        <f>IF(H9="","",H9*24.5*F值!$B$6)</f>
        <v/>
      </c>
      <c r="J9" s="46" t="str">
        <f t="shared" si="0"/>
        <v/>
      </c>
      <c r="K9" s="2" t="str">
        <f t="shared" si="1"/>
        <v/>
      </c>
      <c r="L9" s="161" t="str">
        <f>IFERROR(IF(I9&gt;S9,"排液："&amp;ROUND(14700*(1-100/I9),0)&amp;" L"&amp;"
補水："&amp;ROUND(14700*(1-100/I9),0)&amp;" L",IF(I9&lt;R9,"硫酸："&amp;ROUND((100-I9)*14700/1400/0.5,1)&amp;" L","")),"")</f>
        <v/>
      </c>
      <c r="M9" s="54"/>
      <c r="N9" s="64" t="str">
        <f>IF(M9="","",M9*24.5*F值!$B$6)</f>
        <v/>
      </c>
      <c r="O9" s="18" t="str">
        <f t="shared" si="2"/>
        <v/>
      </c>
      <c r="P9" s="56" t="s">
        <v>79</v>
      </c>
      <c r="Q9" s="57">
        <v>14700</v>
      </c>
      <c r="R9" s="2">
        <v>90</v>
      </c>
      <c r="S9" s="46">
        <v>110</v>
      </c>
    </row>
    <row r="10" spans="1:19" ht="60" customHeight="1">
      <c r="A10" s="284"/>
      <c r="B10" s="287"/>
      <c r="C10" s="60" t="s">
        <v>85</v>
      </c>
      <c r="D10" s="47" t="s">
        <v>106</v>
      </c>
      <c r="E10" s="51">
        <v>190</v>
      </c>
      <c r="F10" s="52" t="s">
        <v>19</v>
      </c>
      <c r="G10" s="1">
        <v>210</v>
      </c>
      <c r="H10" s="54"/>
      <c r="I10" s="64" t="str">
        <f>IF(H10="","",H10*6.25*F值!$B$6)</f>
        <v/>
      </c>
      <c r="J10" s="46" t="str">
        <f t="shared" si="0"/>
        <v/>
      </c>
      <c r="K10" s="2" t="str">
        <f t="shared" si="1"/>
        <v/>
      </c>
      <c r="L10" s="161" t="str">
        <f>IFERROR(IF(I10&gt;S10,"排液："&amp;ROUND(14700*(1-200/I10),0)&amp;" Kg"&amp;"
補水："&amp;ROUND(14700*(1-200/I10),0)&amp;" Kg",IF(I10&lt;R10,"氧化銅："&amp;ROUND((200-I10)*14700/1000/0.799*0.9,1)&amp;" Kg","")),"")</f>
        <v/>
      </c>
      <c r="M10" s="54"/>
      <c r="N10" s="64" t="str">
        <f>IF(M10="","",M10*6.25*F值!$B$6)</f>
        <v/>
      </c>
      <c r="O10" s="18" t="str">
        <f t="shared" si="2"/>
        <v/>
      </c>
      <c r="P10" s="56" t="s">
        <v>87</v>
      </c>
      <c r="Q10" s="57">
        <v>14700</v>
      </c>
      <c r="R10" s="2">
        <v>190</v>
      </c>
      <c r="S10" s="46">
        <v>210</v>
      </c>
    </row>
    <row r="11" spans="1:19" ht="60" customHeight="1">
      <c r="A11" s="284"/>
      <c r="B11" s="287"/>
      <c r="C11" s="60" t="s">
        <v>88</v>
      </c>
      <c r="D11" s="65" t="s">
        <v>107</v>
      </c>
      <c r="E11" s="51">
        <v>25</v>
      </c>
      <c r="F11" s="52" t="s">
        <v>19</v>
      </c>
      <c r="G11" s="53">
        <v>35</v>
      </c>
      <c r="H11" s="54"/>
      <c r="I11" s="64" t="str">
        <f>IF(H11="","",H11*152)</f>
        <v/>
      </c>
      <c r="J11" s="46" t="str">
        <f t="shared" si="0"/>
        <v/>
      </c>
      <c r="K11" s="2" t="str">
        <f t="shared" si="1"/>
        <v/>
      </c>
      <c r="L11" s="161" t="str">
        <f>IFERROR(IF(I11&gt;S11,"排液："&amp;ROUND(14700*(1-30/I11),0)&amp;" L"&amp;"
補水："&amp;ROUND(14700*(1-30/I11),0)&amp;" L",IF(I11&lt;R11,"鹽酸："&amp;ROUND((30-I11)/0.0573,0)&amp;" mL","")),"")</f>
        <v/>
      </c>
      <c r="M11" s="54"/>
      <c r="N11" s="64" t="str">
        <f>IF(M11="","",M11*152)</f>
        <v/>
      </c>
      <c r="O11" s="18" t="str">
        <f t="shared" si="2"/>
        <v/>
      </c>
      <c r="P11" s="56" t="s">
        <v>90</v>
      </c>
      <c r="Q11" s="57">
        <v>14700</v>
      </c>
      <c r="R11" s="2">
        <v>25</v>
      </c>
      <c r="S11" s="46">
        <v>35</v>
      </c>
    </row>
    <row r="12" spans="1:19" ht="60" customHeight="1">
      <c r="A12" s="284"/>
      <c r="B12" s="287"/>
      <c r="C12" s="60" t="s">
        <v>108</v>
      </c>
      <c r="D12" s="47" t="s">
        <v>109</v>
      </c>
      <c r="E12" s="66">
        <v>2</v>
      </c>
      <c r="F12" s="67" t="s">
        <v>19</v>
      </c>
      <c r="G12" s="68">
        <v>6</v>
      </c>
      <c r="H12" s="5" t="s">
        <v>34</v>
      </c>
      <c r="I12" s="69"/>
      <c r="J12" s="46" t="str">
        <f t="shared" si="0"/>
        <v/>
      </c>
      <c r="K12" s="2" t="str">
        <f t="shared" si="1"/>
        <v/>
      </c>
      <c r="L12" s="161" t="str">
        <f>IF(K12="","",IF(I12&gt;S12,"排液："&amp;ROUND(14700*(1-4/I12),0)&amp;" L"&amp;"
補水："&amp;ROUND(14700*(1-4/I12),0)&amp;" L",IF(I12&lt;R12,"GAP-1："&amp;ROUND((4-I12)*14700/1000,1)&amp;" L","")))</f>
        <v/>
      </c>
      <c r="M12" s="5" t="s">
        <v>34</v>
      </c>
      <c r="N12" s="69"/>
      <c r="O12" s="18" t="str">
        <f t="shared" si="2"/>
        <v/>
      </c>
      <c r="P12" s="56" t="s">
        <v>108</v>
      </c>
      <c r="Q12" s="57">
        <v>14700</v>
      </c>
      <c r="R12" s="2">
        <v>2</v>
      </c>
      <c r="S12" s="46">
        <v>6</v>
      </c>
    </row>
    <row r="13" spans="1:19" ht="60" customHeight="1">
      <c r="A13" s="284"/>
      <c r="B13" s="287"/>
      <c r="C13" s="60" t="s">
        <v>110</v>
      </c>
      <c r="D13" s="47" t="s">
        <v>111</v>
      </c>
      <c r="E13" s="51">
        <v>2</v>
      </c>
      <c r="F13" s="52" t="s">
        <v>19</v>
      </c>
      <c r="G13" s="1">
        <v>4</v>
      </c>
      <c r="H13" s="5" t="s">
        <v>34</v>
      </c>
      <c r="I13" s="70"/>
      <c r="J13" s="46" t="str">
        <f t="shared" si="0"/>
        <v/>
      </c>
      <c r="K13" s="2" t="str">
        <f t="shared" si="1"/>
        <v/>
      </c>
      <c r="L13" s="161" t="str">
        <f>IF(K13="","",IF(I13&gt;S13,"排液："&amp;ROUND(14700*(1-3/I13),0)&amp;" L"&amp;"
補水："&amp;ROUND(14700*(1-3/I13),0)&amp;" L",IF(I13&lt;R13,"GAP-2："&amp;ROUND((3-I13)*14700/1000,1)&amp;" L","")))</f>
        <v/>
      </c>
      <c r="M13" s="5" t="s">
        <v>34</v>
      </c>
      <c r="N13" s="69"/>
      <c r="O13" s="18" t="str">
        <f t="shared" si="2"/>
        <v/>
      </c>
      <c r="P13" s="56" t="s">
        <v>110</v>
      </c>
      <c r="Q13" s="57">
        <v>14700</v>
      </c>
      <c r="R13" s="2">
        <v>2</v>
      </c>
      <c r="S13" s="46">
        <v>4</v>
      </c>
    </row>
    <row r="14" spans="1:19" ht="60" customHeight="1">
      <c r="A14" s="284"/>
      <c r="B14" s="288"/>
      <c r="C14" s="60" t="s">
        <v>112</v>
      </c>
      <c r="D14" s="61" t="s">
        <v>113</v>
      </c>
      <c r="E14" s="62">
        <v>9</v>
      </c>
      <c r="F14" s="52" t="s">
        <v>19</v>
      </c>
      <c r="G14" s="63">
        <v>15</v>
      </c>
      <c r="H14" s="5" t="s">
        <v>34</v>
      </c>
      <c r="I14" s="71"/>
      <c r="J14" s="46" t="str">
        <f t="shared" si="0"/>
        <v/>
      </c>
      <c r="K14" s="2" t="str">
        <f t="shared" si="1"/>
        <v/>
      </c>
      <c r="L14" s="161" t="str">
        <f>IF(K14="","",IF(I14&gt;S14,"排液："&amp;ROUND(14700*(1-12/I14),0)&amp;" L"&amp;"
補水："&amp;ROUND(14700*(1-12/I14),0)&amp;" L",IF(I14&lt;R14,"GAP-3："&amp;ROUND((12-I14)*14700/1000,1)&amp;" L","")))</f>
        <v/>
      </c>
      <c r="M14" s="5" t="s">
        <v>34</v>
      </c>
      <c r="N14" s="69"/>
      <c r="O14" s="18" t="str">
        <f t="shared" si="2"/>
        <v/>
      </c>
      <c r="P14" s="56" t="s">
        <v>112</v>
      </c>
      <c r="Q14" s="57">
        <v>14700</v>
      </c>
      <c r="R14" s="2">
        <v>9</v>
      </c>
      <c r="S14" s="46">
        <v>15</v>
      </c>
    </row>
    <row r="15" spans="1:19" ht="60" customHeight="1">
      <c r="A15" s="284"/>
      <c r="B15" s="289" t="s">
        <v>96</v>
      </c>
      <c r="C15" s="60" t="s">
        <v>79</v>
      </c>
      <c r="D15" s="47" t="s">
        <v>97</v>
      </c>
      <c r="E15" s="51">
        <v>100</v>
      </c>
      <c r="F15" s="52" t="s">
        <v>19</v>
      </c>
      <c r="G15" s="1">
        <v>200</v>
      </c>
      <c r="H15" s="54"/>
      <c r="I15" s="64" t="str">
        <f>IF(H15="","",H15*24.5*F值!$B$3)</f>
        <v/>
      </c>
      <c r="J15" s="46" t="str">
        <f t="shared" si="0"/>
        <v/>
      </c>
      <c r="K15" s="2" t="str">
        <f t="shared" si="1"/>
        <v/>
      </c>
      <c r="L15" s="161" t="str">
        <f>IFERROR(IF(I15&gt;S15,"排液："&amp;ROUND(430*(1-150/I15),0)&amp;" L"&amp;"
補水："&amp;ROUND(430*(1-150/I15),0)&amp;" L",IF(I15&lt;R15,"硫酸："&amp;ROUND((150-I15)*430/1400/0.5,1)&amp;" L","")),"")</f>
        <v/>
      </c>
      <c r="M15" s="54"/>
      <c r="N15" s="64" t="str">
        <f>IF(M15="","",M15*24.5*F值!$B$3)</f>
        <v/>
      </c>
      <c r="O15" s="18" t="str">
        <f t="shared" si="2"/>
        <v/>
      </c>
      <c r="P15" s="56" t="s">
        <v>79</v>
      </c>
      <c r="Q15" s="57">
        <v>430</v>
      </c>
      <c r="R15" s="2">
        <v>100</v>
      </c>
      <c r="S15" s="46">
        <v>200</v>
      </c>
    </row>
    <row r="16" spans="1:19" ht="60" customHeight="1">
      <c r="A16" s="284"/>
      <c r="B16" s="290"/>
      <c r="C16" s="60" t="s">
        <v>98</v>
      </c>
      <c r="D16" s="65" t="s">
        <v>99</v>
      </c>
      <c r="E16" s="72">
        <v>120</v>
      </c>
      <c r="F16" s="52" t="s">
        <v>19</v>
      </c>
      <c r="G16" s="73">
        <v>160</v>
      </c>
      <c r="H16" s="74"/>
      <c r="I16" s="55" t="str">
        <f>IF(H16="","",H16*9.714*F值!$B$7)</f>
        <v/>
      </c>
      <c r="J16" s="46" t="str">
        <f t="shared" si="0"/>
        <v/>
      </c>
      <c r="K16" s="2" t="str">
        <f t="shared" si="1"/>
        <v/>
      </c>
      <c r="L16" s="161" t="str">
        <f>IFERROR(IF(I16&gt;S16,"排液："&amp;ROUND(430*(1-140/I16),0)&amp;" L"&amp;"
補水："&amp;ROUND(430*(1-140/I16),0)&amp;" L",IF(I16&lt;R16,"雙氧水："&amp;ROUND((140-I16)*430/1140,1)&amp;" L","")),"")</f>
        <v/>
      </c>
      <c r="M16" s="74"/>
      <c r="N16" s="64" t="str">
        <f>IF(M16="","",M16*9.714*F值!$B$7)</f>
        <v/>
      </c>
      <c r="O16" s="18" t="str">
        <f t="shared" si="2"/>
        <v/>
      </c>
      <c r="P16" s="56" t="s">
        <v>98</v>
      </c>
      <c r="Q16" s="57">
        <v>430</v>
      </c>
      <c r="R16" s="2">
        <v>120</v>
      </c>
      <c r="S16" s="46">
        <v>160</v>
      </c>
    </row>
    <row r="17" spans="1:19" ht="60" customHeight="1">
      <c r="A17" s="285"/>
      <c r="B17" s="291"/>
      <c r="C17" s="60" t="s">
        <v>85</v>
      </c>
      <c r="D17" s="65" t="s">
        <v>45</v>
      </c>
      <c r="E17" s="75">
        <v>0</v>
      </c>
      <c r="F17" s="52" t="s">
        <v>19</v>
      </c>
      <c r="G17" s="73">
        <v>100</v>
      </c>
      <c r="H17" s="54"/>
      <c r="I17" s="55" t="str">
        <f>IF(H17="","",H17*6.354*F值!$B$3)</f>
        <v/>
      </c>
      <c r="J17" s="46" t="str">
        <f t="shared" si="0"/>
        <v/>
      </c>
      <c r="K17" s="2" t="str">
        <f>IF(I17="","",IF(I17&gt;S17,"更槽",""))</f>
        <v/>
      </c>
      <c r="L17" s="161"/>
      <c r="M17" s="54"/>
      <c r="N17" s="64" t="str">
        <f>IF(M17="","",M17*6.354*F值!$B$3)</f>
        <v/>
      </c>
      <c r="O17" s="18" t="str">
        <f t="shared" si="2"/>
        <v/>
      </c>
      <c r="P17" s="56" t="s">
        <v>100</v>
      </c>
      <c r="Q17" s="57">
        <v>430</v>
      </c>
      <c r="R17" s="2" t="s">
        <v>100</v>
      </c>
      <c r="S17" s="46">
        <v>100</v>
      </c>
    </row>
    <row r="18" spans="1:19" ht="18" customHeight="1">
      <c r="A18" s="76" t="s">
        <v>23</v>
      </c>
      <c r="B18" s="77"/>
      <c r="C18" s="77"/>
      <c r="D18" s="77"/>
      <c r="E18" s="77"/>
      <c r="F18" s="77"/>
      <c r="G18" s="77"/>
      <c r="H18" s="77"/>
      <c r="I18" s="77"/>
      <c r="J18" s="78"/>
    </row>
    <row r="19" spans="1:19" ht="18" customHeight="1">
      <c r="A19" s="79"/>
      <c r="B19" s="40"/>
      <c r="D19" s="40"/>
      <c r="E19" s="40"/>
      <c r="F19" s="40"/>
      <c r="G19" s="40"/>
      <c r="H19" s="40"/>
      <c r="I19" s="40"/>
      <c r="J19" s="80"/>
    </row>
    <row r="20" spans="1:19" ht="18" customHeight="1">
      <c r="A20" s="292"/>
      <c r="B20" s="293"/>
      <c r="C20" s="293"/>
      <c r="D20" s="293"/>
      <c r="E20" s="293"/>
      <c r="F20" s="293"/>
      <c r="G20" s="293"/>
      <c r="H20" s="293"/>
      <c r="I20" s="293"/>
      <c r="J20" s="294"/>
    </row>
    <row r="21" spans="1:19" ht="18" customHeight="1">
      <c r="A21" s="295"/>
      <c r="B21" s="296"/>
      <c r="C21" s="296"/>
      <c r="D21" s="296"/>
      <c r="E21" s="296"/>
      <c r="F21" s="296"/>
      <c r="G21" s="296"/>
      <c r="H21" s="296"/>
      <c r="I21" s="296"/>
      <c r="J21" s="297"/>
    </row>
    <row r="22" spans="1:19" ht="18" customHeight="1">
      <c r="A22" s="81" t="s">
        <v>25</v>
      </c>
      <c r="C22" s="82" t="s">
        <v>26</v>
      </c>
      <c r="H22" s="82" t="s">
        <v>27</v>
      </c>
    </row>
    <row r="23" spans="1:19" s="39" customFormat="1" ht="18" customHeight="1">
      <c r="C23" s="40"/>
      <c r="J23" s="40"/>
      <c r="K23" s="41"/>
      <c r="P23" s="41"/>
      <c r="Q23" s="41"/>
    </row>
    <row r="24" spans="1:19" s="39" customFormat="1" ht="18" customHeight="1">
      <c r="C24" s="40"/>
      <c r="J24" s="40"/>
      <c r="K24" s="41"/>
      <c r="P24" s="41"/>
      <c r="Q24" s="41"/>
    </row>
  </sheetData>
  <sheetProtection algorithmName="SHA-512" hashValue="ZlPnG/pVLRGpbbBgozhlCEq1FabvT+2tS658KdoOxIJySTyLuyY/AV82HRAubYefva/og23LZYgFt5ZuFFr3UA==" saltValue="eSvENg9aRqDzmwKR/2MxFA==" spinCount="100000" sheet="1" objects="1" scenarios="1"/>
  <mergeCells count="10">
    <mergeCell ref="E6:G6"/>
    <mergeCell ref="A7:A17"/>
    <mergeCell ref="B9:B14"/>
    <mergeCell ref="B15:B17"/>
    <mergeCell ref="A20:J21"/>
    <mergeCell ref="A1:I1"/>
    <mergeCell ref="A2:J2"/>
    <mergeCell ref="B3:J3"/>
    <mergeCell ref="B4:J4"/>
    <mergeCell ref="B5:J5"/>
  </mergeCells>
  <phoneticPr fontId="18" type="noConversion"/>
  <conditionalFormatting sqref="J7:J17">
    <cfRule type="containsText" dxfId="7" priority="3" operator="containsText" text="NG">
      <formula>NOT(ISERROR(SEARCH("NG",J7)))</formula>
    </cfRule>
  </conditionalFormatting>
  <conditionalFormatting sqref="O7:O17">
    <cfRule type="containsText" dxfId="6" priority="1" operator="containsText" text="NG">
      <formula>NOT(ISERROR(SEARCH("NG",O7)))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V21"/>
  <sheetViews>
    <sheetView showGridLines="0" showZeros="0" zoomScale="40" zoomScaleNormal="40" workbookViewId="0">
      <selection activeCell="L15" sqref="L15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21.625" style="14" customWidth="1"/>
    <col min="10" max="10" width="21.625" style="15" customWidth="1"/>
    <col min="11" max="11" width="21.625" style="16" customWidth="1"/>
    <col min="12" max="12" width="50.625" style="17" customWidth="1"/>
    <col min="13" max="15" width="21.625" style="17" customWidth="1"/>
    <col min="16" max="16" width="30.625" style="16" customWidth="1"/>
    <col min="17" max="17" width="21.625" style="16" customWidth="1"/>
    <col min="18" max="19" width="21.625" style="17" customWidth="1"/>
    <col min="20" max="20" width="30.625" style="14" customWidth="1"/>
    <col min="21" max="22" width="30.625" style="189" customWidth="1"/>
    <col min="23" max="16384" width="9" style="17"/>
  </cols>
  <sheetData>
    <row r="1" spans="1:22" ht="27.75" customHeight="1">
      <c r="A1" s="200"/>
      <c r="B1" s="200"/>
      <c r="C1" s="200"/>
      <c r="D1" s="200"/>
      <c r="E1" s="200"/>
      <c r="F1" s="200"/>
      <c r="G1" s="200"/>
      <c r="H1" s="200"/>
      <c r="I1" s="200"/>
    </row>
    <row r="2" spans="1:22" ht="50.25">
      <c r="A2" s="201" t="s">
        <v>0</v>
      </c>
      <c r="B2" s="201"/>
      <c r="C2" s="201"/>
      <c r="D2" s="201"/>
      <c r="E2" s="201"/>
      <c r="F2" s="201"/>
      <c r="G2" s="201"/>
      <c r="H2" s="201"/>
      <c r="I2" s="201"/>
      <c r="J2" s="201"/>
    </row>
    <row r="3" spans="1:22" ht="35.1" customHeight="1">
      <c r="A3" s="18" t="s">
        <v>1</v>
      </c>
      <c r="B3" s="202" t="s">
        <v>218</v>
      </c>
      <c r="C3" s="203"/>
      <c r="D3" s="203"/>
      <c r="E3" s="203"/>
      <c r="F3" s="203"/>
      <c r="G3" s="203"/>
      <c r="H3" s="203"/>
      <c r="I3" s="203"/>
      <c r="J3" s="204"/>
    </row>
    <row r="4" spans="1:22" ht="35.1" customHeight="1">
      <c r="A4" s="18" t="s">
        <v>2</v>
      </c>
      <c r="B4" s="260"/>
      <c r="C4" s="261"/>
      <c r="D4" s="261"/>
      <c r="E4" s="261"/>
      <c r="F4" s="261"/>
      <c r="G4" s="261"/>
      <c r="H4" s="261"/>
      <c r="I4" s="261"/>
      <c r="J4" s="262"/>
    </row>
    <row r="5" spans="1:22" ht="35.1" customHeight="1">
      <c r="A5" s="18" t="s">
        <v>3</v>
      </c>
      <c r="B5" s="202"/>
      <c r="C5" s="203"/>
      <c r="D5" s="203"/>
      <c r="E5" s="203"/>
      <c r="F5" s="203"/>
      <c r="G5" s="203"/>
      <c r="H5" s="203"/>
      <c r="I5" s="203"/>
      <c r="J5" s="204"/>
      <c r="K5" s="19"/>
      <c r="M5" s="163" t="s">
        <v>206</v>
      </c>
      <c r="N5" s="163"/>
      <c r="O5" s="163"/>
      <c r="P5" s="15"/>
      <c r="Q5" s="15"/>
      <c r="T5" s="226" t="s">
        <v>229</v>
      </c>
      <c r="U5" s="226"/>
      <c r="V5" s="226"/>
    </row>
    <row r="6" spans="1:22" ht="35.1" customHeight="1">
      <c r="A6" s="18" t="s">
        <v>1</v>
      </c>
      <c r="B6" s="18" t="s">
        <v>4</v>
      </c>
      <c r="C6" s="20" t="s">
        <v>5</v>
      </c>
      <c r="D6" s="20" t="s">
        <v>6</v>
      </c>
      <c r="E6" s="270" t="s">
        <v>7</v>
      </c>
      <c r="F6" s="253"/>
      <c r="G6" s="254"/>
      <c r="H6" s="20" t="s">
        <v>8</v>
      </c>
      <c r="I6" s="21" t="s">
        <v>9</v>
      </c>
      <c r="J6" s="20" t="s">
        <v>10</v>
      </c>
      <c r="K6" s="22" t="s">
        <v>207</v>
      </c>
      <c r="L6" s="22" t="s">
        <v>13</v>
      </c>
      <c r="M6" s="20" t="s">
        <v>8</v>
      </c>
      <c r="N6" s="20" t="s">
        <v>9</v>
      </c>
      <c r="O6" s="47" t="s">
        <v>10</v>
      </c>
      <c r="P6" s="22" t="s">
        <v>12</v>
      </c>
      <c r="Q6" s="22" t="s">
        <v>74</v>
      </c>
      <c r="R6" s="22" t="s">
        <v>15</v>
      </c>
      <c r="S6" s="22" t="s">
        <v>75</v>
      </c>
      <c r="T6" s="190" t="s">
        <v>230</v>
      </c>
      <c r="U6" s="190" t="s">
        <v>231</v>
      </c>
      <c r="V6" s="190" t="s">
        <v>232</v>
      </c>
    </row>
    <row r="7" spans="1:22" ht="60" customHeight="1">
      <c r="A7" s="208" t="s">
        <v>253</v>
      </c>
      <c r="B7" s="255" t="s">
        <v>114</v>
      </c>
      <c r="C7" s="18" t="s">
        <v>115</v>
      </c>
      <c r="D7" s="18" t="s">
        <v>116</v>
      </c>
      <c r="E7" s="23">
        <v>150</v>
      </c>
      <c r="F7" s="24" t="s">
        <v>19</v>
      </c>
      <c r="G7" s="25">
        <v>400</v>
      </c>
      <c r="H7" s="113"/>
      <c r="I7" s="3" t="str">
        <f>IF(H7="","",(25-H7)*13.3)</f>
        <v/>
      </c>
      <c r="J7" s="18" t="str">
        <f>IF(I7="","",IF(OR(I7&lt;E7,I7&gt;G7),"NG","OK"))</f>
        <v/>
      </c>
      <c r="K7" s="22" t="str">
        <f>IF(I7="","",IF(I7&lt;R7,"添加",IF(I7&gt;S7,"稀釋","")))</f>
        <v/>
      </c>
      <c r="L7" s="91" t="str">
        <f>IFERROR(IF(I7&gt;S7,"排液："&amp;ROUND(600*(1-S7/I7),0)&amp;" L"&amp;"
補水："&amp;ROUND(600*(1-S7/I7),0)&amp;" L",IF(I7&lt;R7,"OPC PARRADELETE："&amp;ROUND((240-I7)*600/1000,1)&amp;" L","")),"")</f>
        <v/>
      </c>
      <c r="M7" s="113"/>
      <c r="N7" s="89" t="str">
        <f>IF(M7="","",(25-M7)*13.3)</f>
        <v/>
      </c>
      <c r="O7" s="18" t="str">
        <f>IF(N7="","",IF(OR(N7&lt;E7,N7&gt;G7),"NG","OK"))</f>
        <v/>
      </c>
      <c r="P7" s="159" t="s">
        <v>198</v>
      </c>
      <c r="Q7" s="22">
        <v>600</v>
      </c>
      <c r="R7" s="22">
        <v>220</v>
      </c>
      <c r="S7" s="18">
        <v>260</v>
      </c>
    </row>
    <row r="8" spans="1:22" ht="60" customHeight="1">
      <c r="A8" s="209"/>
      <c r="B8" s="255"/>
      <c r="C8" s="26" t="s">
        <v>117</v>
      </c>
      <c r="D8" s="27" t="s">
        <v>118</v>
      </c>
      <c r="E8" s="28">
        <v>0.3</v>
      </c>
      <c r="F8" s="24" t="s">
        <v>19</v>
      </c>
      <c r="G8" s="29">
        <v>0.8</v>
      </c>
      <c r="H8" s="113"/>
      <c r="I8" s="3" t="str">
        <f>IF(H8="","",H8*0.93)</f>
        <v/>
      </c>
      <c r="J8" s="18" t="str">
        <f t="shared" ref="J8:J14" si="0">IF(I8="","",IF(OR(I8&lt;E8,I8&gt;G8),"NG","OK"))</f>
        <v/>
      </c>
      <c r="K8" s="22" t="str">
        <f t="shared" ref="K8:K13" si="1">IF(I8="","",IF(I8&lt;R8,"添加",IF(I8&gt;S8,"稀釋","")))</f>
        <v/>
      </c>
      <c r="L8" s="91" t="str">
        <f>IFERROR(IF(I8&gt;S8,"排液："&amp;ROUND(600*(1-S8/I8),0)&amp;" L"&amp;"
補水："&amp;ROUND(600*(1-S8/I8),0)&amp;" L",IF(I8&lt;R8,"SPS："&amp;ROUND((0.55-I8)*600,1)&amp;" g","")),"")</f>
        <v/>
      </c>
      <c r="M8" s="113"/>
      <c r="N8" s="89" t="str">
        <f>IF(M8="","",M8*0.93)</f>
        <v/>
      </c>
      <c r="O8" s="18" t="str">
        <f t="shared" ref="O8:O14" si="2">IF(N8="","",IF(OR(N8&lt;E8,N8&gt;G8),"NG","OK"))</f>
        <v/>
      </c>
      <c r="P8" s="4" t="s">
        <v>183</v>
      </c>
      <c r="Q8" s="22">
        <v>600</v>
      </c>
      <c r="R8" s="22">
        <v>0.4</v>
      </c>
      <c r="S8" s="151">
        <v>0.8</v>
      </c>
    </row>
    <row r="9" spans="1:22" ht="60" customHeight="1">
      <c r="A9" s="209"/>
      <c r="B9" s="298"/>
      <c r="C9" s="26" t="s">
        <v>233</v>
      </c>
      <c r="D9" s="191" t="s">
        <v>235</v>
      </c>
      <c r="E9" s="28"/>
      <c r="F9" s="24"/>
      <c r="G9" s="29"/>
      <c r="H9" s="114" t="s">
        <v>34</v>
      </c>
      <c r="I9" s="6"/>
      <c r="J9" s="183"/>
      <c r="K9" s="185"/>
      <c r="L9" s="187"/>
      <c r="M9" s="184"/>
      <c r="N9" s="192"/>
      <c r="O9" s="183"/>
      <c r="P9" s="193"/>
      <c r="Q9" s="185"/>
      <c r="R9" s="185"/>
      <c r="S9" s="194"/>
      <c r="T9" s="14" t="s">
        <v>228</v>
      </c>
      <c r="U9" s="189">
        <v>46086</v>
      </c>
      <c r="V9" s="189">
        <v>46203</v>
      </c>
    </row>
    <row r="10" spans="1:22" ht="60" customHeight="1">
      <c r="A10" s="209"/>
      <c r="B10" s="298"/>
      <c r="C10" s="26" t="s">
        <v>234</v>
      </c>
      <c r="D10" s="191" t="s">
        <v>235</v>
      </c>
      <c r="E10" s="28"/>
      <c r="F10" s="24"/>
      <c r="G10" s="29"/>
      <c r="H10" s="114" t="s">
        <v>34</v>
      </c>
      <c r="I10" s="6"/>
      <c r="J10" s="183"/>
      <c r="K10" s="185"/>
      <c r="L10" s="187"/>
      <c r="M10" s="184"/>
      <c r="N10" s="192"/>
      <c r="O10" s="183"/>
      <c r="P10" s="193"/>
      <c r="Q10" s="185"/>
      <c r="R10" s="185"/>
      <c r="S10" s="194"/>
      <c r="T10" s="14" t="s">
        <v>228</v>
      </c>
      <c r="U10" s="189">
        <v>46086</v>
      </c>
      <c r="V10" s="189">
        <v>46203</v>
      </c>
    </row>
    <row r="11" spans="1:22" ht="60" customHeight="1">
      <c r="A11" s="209"/>
      <c r="B11" s="255"/>
      <c r="C11" s="18" t="s">
        <v>32</v>
      </c>
      <c r="D11" s="18" t="s">
        <v>119</v>
      </c>
      <c r="E11" s="23">
        <v>9.8000000000000007</v>
      </c>
      <c r="F11" s="24" t="s">
        <v>19</v>
      </c>
      <c r="G11" s="25">
        <v>10.199999999999999</v>
      </c>
      <c r="H11" s="114" t="s">
        <v>34</v>
      </c>
      <c r="I11" s="6"/>
      <c r="J11" s="18" t="str">
        <f t="shared" si="0"/>
        <v/>
      </c>
      <c r="K11" s="22" t="str">
        <f t="shared" si="1"/>
        <v/>
      </c>
      <c r="L11" s="91" t="str">
        <f>IFERROR(IF(I11&gt;S11,"排液："&amp;ROUND(600*(1-S11/I11),0)&amp;" L，補水："&amp;ROUND(600*(1-S11/I11),0)&amp;" L",IF(I11="","",IF(I11&lt;R11,"NaOH："&amp;ROUND((10-I11)*600*10,1)&amp;" ml",""))),"")</f>
        <v/>
      </c>
      <c r="M11" s="114" t="s">
        <v>34</v>
      </c>
      <c r="N11" s="7"/>
      <c r="O11" s="18" t="str">
        <f t="shared" si="2"/>
        <v/>
      </c>
      <c r="P11" s="4" t="s">
        <v>199</v>
      </c>
      <c r="Q11" s="22">
        <v>600</v>
      </c>
      <c r="R11" s="22">
        <v>9.9</v>
      </c>
      <c r="S11" s="18">
        <v>10.15</v>
      </c>
    </row>
    <row r="12" spans="1:22" ht="60" customHeight="1">
      <c r="A12" s="209"/>
      <c r="B12" s="20" t="s">
        <v>76</v>
      </c>
      <c r="C12" s="18" t="s">
        <v>120</v>
      </c>
      <c r="D12" s="18" t="s">
        <v>102</v>
      </c>
      <c r="E12" s="23">
        <v>80</v>
      </c>
      <c r="F12" s="24" t="s">
        <v>19</v>
      </c>
      <c r="G12" s="25">
        <v>120</v>
      </c>
      <c r="H12" s="162"/>
      <c r="I12" s="89" t="str">
        <f>IF(H12="","",H12*7.5*4*F值!$B$3)</f>
        <v/>
      </c>
      <c r="J12" s="18" t="str">
        <f t="shared" si="0"/>
        <v/>
      </c>
      <c r="K12" s="22" t="str">
        <f t="shared" si="1"/>
        <v/>
      </c>
      <c r="L12" s="91" t="str">
        <f>IFERROR(IF(I12&gt;S12,"排液："&amp;ROUND(500*(1-S12/I12),0)&amp;" L"&amp;"
補水："&amp;ROUND(500*(1-S12/I12),0)&amp;" L",IF(I12&lt;R12,"OPC PARRARINSE："&amp;ROUND((100-I12)*500/500,1)&amp;" L","")),"")</f>
        <v/>
      </c>
      <c r="M12" s="162"/>
      <c r="N12" s="89" t="str">
        <f>IF(M12="","",M12*7.5*4*F值!$B$3)</f>
        <v/>
      </c>
      <c r="O12" s="18" t="str">
        <f t="shared" si="2"/>
        <v/>
      </c>
      <c r="P12" s="159" t="s">
        <v>200</v>
      </c>
      <c r="Q12" s="22">
        <v>500</v>
      </c>
      <c r="R12" s="22">
        <v>90</v>
      </c>
      <c r="S12" s="18">
        <v>119</v>
      </c>
    </row>
    <row r="13" spans="1:22" ht="60" customHeight="1">
      <c r="A13" s="209"/>
      <c r="B13" s="18" t="s">
        <v>121</v>
      </c>
      <c r="C13" s="26" t="s">
        <v>122</v>
      </c>
      <c r="D13" s="26" t="s">
        <v>105</v>
      </c>
      <c r="E13" s="30">
        <v>4</v>
      </c>
      <c r="F13" s="24" t="s">
        <v>19</v>
      </c>
      <c r="G13" s="31">
        <v>6</v>
      </c>
      <c r="H13" s="162"/>
      <c r="I13" s="89" t="str">
        <f>IF(H13="","",H13*3.2*F值!$B$7)</f>
        <v/>
      </c>
      <c r="J13" s="18" t="str">
        <f t="shared" si="0"/>
        <v/>
      </c>
      <c r="K13" s="22" t="str">
        <f t="shared" si="1"/>
        <v/>
      </c>
      <c r="L13" s="91" t="str">
        <f>IFERROR(IF(I13&gt;S13,"排液："&amp;ROUND(70*(1-S13/I13),0)&amp;" L"&amp;"
補水："&amp;ROUND(70*(1-S13/I13),0)&amp;" L",IF(I13&lt;R13,"硫酸(50%)："&amp;ROUND((5-I13)/0.5,0)&amp;"L","")),"")</f>
        <v/>
      </c>
      <c r="M13" s="162"/>
      <c r="N13" s="89" t="str">
        <f>IF(M13="","",M13*3.2*F值!$B$7)</f>
        <v/>
      </c>
      <c r="O13" s="18" t="str">
        <f t="shared" si="2"/>
        <v/>
      </c>
      <c r="P13" s="4" t="s">
        <v>202</v>
      </c>
      <c r="Q13" s="22">
        <v>70</v>
      </c>
      <c r="R13" s="22">
        <v>4.5</v>
      </c>
      <c r="S13" s="18">
        <v>5.9</v>
      </c>
    </row>
    <row r="14" spans="1:22" ht="60" customHeight="1">
      <c r="A14" s="209"/>
      <c r="B14" s="20" t="s">
        <v>123</v>
      </c>
      <c r="C14" s="26" t="s">
        <v>32</v>
      </c>
      <c r="D14" s="20" t="s">
        <v>124</v>
      </c>
      <c r="E14" s="23">
        <v>5</v>
      </c>
      <c r="F14" s="24" t="s">
        <v>19</v>
      </c>
      <c r="G14" s="32">
        <v>999</v>
      </c>
      <c r="H14" s="114" t="s">
        <v>34</v>
      </c>
      <c r="I14" s="7"/>
      <c r="J14" s="18" t="str">
        <f t="shared" si="0"/>
        <v/>
      </c>
      <c r="K14" s="22" t="str">
        <f>IF(I14="","",IF(I14&lt;R14,"更槽",""))</f>
        <v/>
      </c>
      <c r="L14" s="91"/>
      <c r="M14" s="114" t="s">
        <v>34</v>
      </c>
      <c r="N14" s="7"/>
      <c r="O14" s="18" t="str">
        <f t="shared" si="2"/>
        <v/>
      </c>
      <c r="P14" s="4" t="s">
        <v>190</v>
      </c>
      <c r="Q14" s="22">
        <v>400</v>
      </c>
      <c r="R14" s="22">
        <v>5</v>
      </c>
      <c r="S14" s="18">
        <v>7</v>
      </c>
    </row>
    <row r="15" spans="1:22" ht="18" customHeight="1">
      <c r="A15" s="33" t="s">
        <v>23</v>
      </c>
      <c r="B15" s="34"/>
      <c r="C15" s="34"/>
      <c r="D15" s="34"/>
      <c r="E15" s="34"/>
      <c r="F15" s="34"/>
      <c r="G15" s="34"/>
      <c r="H15" s="34"/>
      <c r="I15" s="34" t="s">
        <v>24</v>
      </c>
      <c r="J15" s="35"/>
    </row>
    <row r="16" spans="1:22" ht="18" customHeight="1">
      <c r="A16" s="19"/>
      <c r="B16" s="15"/>
      <c r="D16" s="15"/>
      <c r="E16" s="15"/>
      <c r="F16" s="15"/>
      <c r="G16" s="15"/>
      <c r="H16" s="15"/>
      <c r="I16" s="15"/>
      <c r="J16" s="36"/>
    </row>
    <row r="17" spans="1:10" ht="18" customHeight="1">
      <c r="A17" s="238"/>
      <c r="B17" s="239"/>
      <c r="C17" s="240"/>
      <c r="D17" s="240"/>
      <c r="E17" s="240"/>
      <c r="F17" s="240"/>
      <c r="G17" s="240"/>
      <c r="H17" s="240"/>
      <c r="I17" s="240"/>
      <c r="J17" s="241"/>
    </row>
    <row r="18" spans="1:10" ht="18" customHeight="1">
      <c r="A18" s="242"/>
      <c r="B18" s="243"/>
      <c r="C18" s="243"/>
      <c r="D18" s="243"/>
      <c r="E18" s="243"/>
      <c r="F18" s="243"/>
      <c r="G18" s="243"/>
      <c r="H18" s="243"/>
      <c r="I18" s="243"/>
      <c r="J18" s="244"/>
    </row>
    <row r="19" spans="1:10" ht="18" customHeight="1">
      <c r="A19" s="37" t="s">
        <v>25</v>
      </c>
      <c r="C19" s="38" t="s">
        <v>26</v>
      </c>
      <c r="H19" s="38" t="s">
        <v>27</v>
      </c>
    </row>
    <row r="20" spans="1:10" ht="18" customHeight="1"/>
    <row r="21" spans="1:10" ht="18" customHeight="1"/>
  </sheetData>
  <sheetProtection algorithmName="SHA-512" hashValue="Wi+uBOCU7nvEDkfTfaz8MEklEk5+HVqL/ZKEssm/4nuwnDG11BLThyeP99NBhqVbghE/8c4XzqdoQdBqIvF3qA==" saltValue="HQhOfR1ZLKvbEqzeT3uJhw==" spinCount="100000" sheet="1" objects="1" scenarios="1"/>
  <mergeCells count="10">
    <mergeCell ref="T5:V5"/>
    <mergeCell ref="E6:G6"/>
    <mergeCell ref="A7:A14"/>
    <mergeCell ref="B7:B11"/>
    <mergeCell ref="A17:J18"/>
    <mergeCell ref="A1:I1"/>
    <mergeCell ref="A2:J2"/>
    <mergeCell ref="B3:J3"/>
    <mergeCell ref="B4:J4"/>
    <mergeCell ref="B5:J5"/>
  </mergeCells>
  <phoneticPr fontId="18" type="noConversion"/>
  <conditionalFormatting sqref="J7:J14">
    <cfRule type="containsText" dxfId="5" priority="5" operator="containsText" text="NG">
      <formula>NOT(ISERROR(SEARCH("NG",J7)))</formula>
    </cfRule>
  </conditionalFormatting>
  <conditionalFormatting sqref="O7:P14">
    <cfRule type="containsText" dxfId="4" priority="1" operator="containsText" text="NG">
      <formula>NOT(ISERROR(SEARCH("NG",O7)))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T33"/>
  <sheetViews>
    <sheetView showGridLines="0" zoomScale="40" zoomScaleNormal="4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7" sqref="H7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21.625" style="14" customWidth="1"/>
    <col min="10" max="10" width="21.625" style="15" customWidth="1"/>
    <col min="11" max="11" width="21.625" style="131" customWidth="1"/>
    <col min="12" max="12" width="50.625" style="131" customWidth="1"/>
    <col min="13" max="15" width="21.625" style="131" customWidth="1"/>
    <col min="16" max="16" width="30.625" style="131" customWidth="1"/>
    <col min="17" max="18" width="21.625" style="131" customWidth="1"/>
    <col min="19" max="19" width="21.625" customWidth="1"/>
    <col min="20" max="22" width="30.625" style="17" customWidth="1"/>
    <col min="23" max="16384" width="9" style="17"/>
  </cols>
  <sheetData>
    <row r="1" spans="1:20" ht="27.75" customHeight="1">
      <c r="A1" s="200"/>
      <c r="B1" s="200"/>
      <c r="C1" s="200"/>
      <c r="D1" s="200"/>
      <c r="E1" s="200"/>
      <c r="F1" s="200"/>
      <c r="G1" s="200"/>
      <c r="H1" s="200"/>
      <c r="I1" s="200"/>
    </row>
    <row r="2" spans="1:20" ht="50.25">
      <c r="A2" s="201" t="s">
        <v>0</v>
      </c>
      <c r="B2" s="201"/>
      <c r="C2" s="201"/>
      <c r="D2" s="201"/>
      <c r="E2" s="201"/>
      <c r="F2" s="201"/>
      <c r="G2" s="201"/>
      <c r="H2" s="201"/>
      <c r="I2" s="201"/>
      <c r="J2" s="201"/>
    </row>
    <row r="3" spans="1:20" ht="35.1" customHeight="1">
      <c r="A3" s="18" t="s">
        <v>1</v>
      </c>
      <c r="B3" s="202" t="s">
        <v>219</v>
      </c>
      <c r="C3" s="203"/>
      <c r="D3" s="203"/>
      <c r="E3" s="203"/>
      <c r="F3" s="203"/>
      <c r="G3" s="203"/>
      <c r="H3" s="203"/>
      <c r="I3" s="203"/>
      <c r="J3" s="204"/>
    </row>
    <row r="4" spans="1:20" ht="35.1" customHeight="1">
      <c r="A4" s="18" t="s">
        <v>2</v>
      </c>
      <c r="B4" s="260"/>
      <c r="C4" s="261"/>
      <c r="D4" s="261"/>
      <c r="E4" s="261"/>
      <c r="F4" s="261"/>
      <c r="G4" s="261"/>
      <c r="H4" s="261"/>
      <c r="I4" s="261"/>
      <c r="J4" s="262"/>
    </row>
    <row r="5" spans="1:20" ht="35.1" customHeight="1">
      <c r="A5" s="18" t="s">
        <v>3</v>
      </c>
      <c r="B5" s="231"/>
      <c r="C5" s="232"/>
      <c r="D5" s="232"/>
      <c r="E5" s="232"/>
      <c r="F5" s="232"/>
      <c r="G5" s="232"/>
      <c r="H5" s="232"/>
      <c r="I5" s="232"/>
      <c r="J5" s="233"/>
      <c r="M5" s="163" t="s">
        <v>206</v>
      </c>
      <c r="N5" s="163"/>
      <c r="O5" s="163"/>
    </row>
    <row r="6" spans="1:20" ht="35.1" customHeight="1">
      <c r="A6" s="18" t="s">
        <v>1</v>
      </c>
      <c r="B6" s="18" t="s">
        <v>4</v>
      </c>
      <c r="C6" s="20" t="s">
        <v>5</v>
      </c>
      <c r="D6" s="20" t="s">
        <v>6</v>
      </c>
      <c r="E6" s="270" t="s">
        <v>7</v>
      </c>
      <c r="F6" s="253"/>
      <c r="G6" s="254"/>
      <c r="H6" s="20" t="s">
        <v>8</v>
      </c>
      <c r="I6" s="21" t="s">
        <v>9</v>
      </c>
      <c r="J6" s="20" t="s">
        <v>10</v>
      </c>
      <c r="K6" s="1" t="s">
        <v>11</v>
      </c>
      <c r="L6" s="2" t="s">
        <v>13</v>
      </c>
      <c r="M6" s="20" t="s">
        <v>8</v>
      </c>
      <c r="N6" s="20" t="s">
        <v>9</v>
      </c>
      <c r="O6" s="47" t="s">
        <v>10</v>
      </c>
      <c r="P6" s="2" t="s">
        <v>12</v>
      </c>
      <c r="Q6" s="2" t="s">
        <v>14</v>
      </c>
      <c r="R6" s="2" t="s">
        <v>15</v>
      </c>
      <c r="S6" s="18" t="s">
        <v>75</v>
      </c>
    </row>
    <row r="7" spans="1:20" ht="60" customHeight="1">
      <c r="A7" s="208" t="s">
        <v>249</v>
      </c>
      <c r="B7" s="20" t="s">
        <v>125</v>
      </c>
      <c r="C7" s="18" t="s">
        <v>126</v>
      </c>
      <c r="D7" s="18" t="s">
        <v>111</v>
      </c>
      <c r="E7" s="23">
        <v>2</v>
      </c>
      <c r="F7" s="24" t="s">
        <v>19</v>
      </c>
      <c r="G7" s="25">
        <v>4</v>
      </c>
      <c r="H7" s="9"/>
      <c r="I7" s="3" t="str">
        <f>IF(H7="","",3.2*H7*F值!$B$3)</f>
        <v/>
      </c>
      <c r="J7" s="18" t="str">
        <f>IF(I7="","",IF(OR(I7&lt;E7,I7&gt;G7),"NG","OK"))</f>
        <v/>
      </c>
      <c r="K7" s="22" t="str">
        <f>IF(I7="","",IF(I7&lt;R7,"添加",IF(I7&gt;S7,"稀釋","")))</f>
        <v/>
      </c>
      <c r="L7" s="158" t="str">
        <f>IFERROR(IF(I7&gt;S7, "排液："&amp;ROUND(70*(1-3/I7)*0.5,1)&amp;" L"&amp;"
補水："&amp;ROUND(70*(1-3/I7)*0.5,1)&amp;" L", IF(I7&lt;R7, "藥液(50%)："&amp;ROUND(((3-I7)*70/100)/0.5, 2)&amp;" L", "")), "")</f>
        <v/>
      </c>
      <c r="M7" s="9"/>
      <c r="N7" s="89" t="str">
        <f>IF(M7="","",3.2*M7*F值!$B$3)</f>
        <v/>
      </c>
      <c r="O7" s="18" t="str">
        <f>IF(N7="","",IF(OR(N7&lt;E7,N7&gt;G7),"NG","OK"))</f>
        <v/>
      </c>
      <c r="P7" s="91" t="s">
        <v>202</v>
      </c>
      <c r="Q7" s="91">
        <v>70</v>
      </c>
      <c r="R7" s="91">
        <v>2.5</v>
      </c>
      <c r="S7" s="18">
        <v>3.9</v>
      </c>
    </row>
    <row r="8" spans="1:20" ht="60" customHeight="1">
      <c r="A8" s="209"/>
      <c r="B8" s="213" t="s">
        <v>127</v>
      </c>
      <c r="C8" s="26" t="s">
        <v>128</v>
      </c>
      <c r="D8" s="27" t="s">
        <v>129</v>
      </c>
      <c r="E8" s="120">
        <v>0</v>
      </c>
      <c r="F8" s="24" t="s">
        <v>19</v>
      </c>
      <c r="G8" s="29">
        <v>42</v>
      </c>
      <c r="H8" s="9"/>
      <c r="I8" s="3" t="str">
        <f>IF(H8="","",3.177*H8*F值!$B$6)</f>
        <v/>
      </c>
      <c r="J8" s="18" t="str">
        <f t="shared" ref="J8:J26" si="0">IF(I8="","",IF(OR(I8&lt;E8,I8&gt;G8),"NG","OK"))</f>
        <v/>
      </c>
      <c r="K8" s="22" t="str">
        <f>IF(I8="","",IF(I8&lt;R8,"添加",IF(I8&gt;S8,"稀釋","")))</f>
        <v/>
      </c>
      <c r="L8" s="158" t="str">
        <f>IFERROR(IF(I8&gt;S8, "排液："&amp;ROUND(300*(1-39/I8), 0)&amp;" L"&amp;"
補UT-4100RC(RC:水 4:1)："&amp;ROUND(300*(1-39/I8), 0)&amp;" L", IF(I8&lt;R8, "UT-4100M："&amp;ROUND(((39-I8)*300/1000), 2)&amp;" L", "")), "")</f>
        <v/>
      </c>
      <c r="M8" s="9"/>
      <c r="N8" s="89" t="str">
        <f>IF(M8="","",3.177*M8*F值!$B$6)</f>
        <v/>
      </c>
      <c r="O8" s="18" t="str">
        <f t="shared" ref="O8:O26" si="1">IF(N8="","",IF(OR(N8&lt;E8,N8&gt;G8),"NG","OK"))</f>
        <v/>
      </c>
      <c r="P8" s="235" t="s">
        <v>180</v>
      </c>
      <c r="Q8" s="235">
        <v>300</v>
      </c>
      <c r="R8" s="91">
        <v>37</v>
      </c>
      <c r="S8" s="18">
        <v>42</v>
      </c>
      <c r="T8" s="132"/>
    </row>
    <row r="9" spans="1:20" ht="60" customHeight="1">
      <c r="A9" s="209"/>
      <c r="B9" s="216"/>
      <c r="C9" s="18" t="s">
        <v>130</v>
      </c>
      <c r="D9" s="18" t="s">
        <v>131</v>
      </c>
      <c r="E9" s="23">
        <v>1.05</v>
      </c>
      <c r="F9" s="24" t="s">
        <v>19</v>
      </c>
      <c r="G9" s="25">
        <v>1.1499999999999999</v>
      </c>
      <c r="H9" s="5" t="s">
        <v>34</v>
      </c>
      <c r="I9" s="6"/>
      <c r="J9" s="18" t="str">
        <f t="shared" si="0"/>
        <v/>
      </c>
      <c r="K9" s="22" t="str">
        <f>IF(I9="","",IF(I9&lt;R9,"添加",IF(I9&gt;S9,"稀釋","")))</f>
        <v/>
      </c>
      <c r="L9" s="158" t="str">
        <f>IFERROR(IF(I9&gt;S9, "排液："&amp;ROUND(400*(1-1.07/I9), 0)&amp;" L"&amp;"
補UT-4100RC(RC:水 4:1)："&amp;ROUND(400*(1-1.07/I9), 0)&amp;" L",IF(I9="","", IF(I9&lt;R9, "UT-4100M："&amp;ROUND(((1.07-I9)*400), 2)&amp;" L", ""))), "")</f>
        <v/>
      </c>
      <c r="M9" s="5" t="s">
        <v>34</v>
      </c>
      <c r="N9" s="7"/>
      <c r="O9" s="18" t="str">
        <f t="shared" si="1"/>
        <v/>
      </c>
      <c r="P9" s="235"/>
      <c r="Q9" s="235"/>
      <c r="R9" s="91">
        <v>1.07</v>
      </c>
      <c r="S9" s="18">
        <v>1.1299999999999999</v>
      </c>
    </row>
    <row r="10" spans="1:20" ht="60" customHeight="1">
      <c r="A10" s="209"/>
      <c r="B10" s="215" t="s">
        <v>132</v>
      </c>
      <c r="C10" s="18" t="s">
        <v>126</v>
      </c>
      <c r="D10" s="18" t="s">
        <v>111</v>
      </c>
      <c r="E10" s="23">
        <v>2</v>
      </c>
      <c r="F10" s="24" t="s">
        <v>19</v>
      </c>
      <c r="G10" s="25">
        <v>4</v>
      </c>
      <c r="H10" s="9"/>
      <c r="I10" s="3" t="str">
        <f>IF(H10="","",3.2*H10*F值!$B$3)</f>
        <v/>
      </c>
      <c r="J10" s="18" t="str">
        <f t="shared" si="0"/>
        <v/>
      </c>
      <c r="K10" s="22" t="str">
        <f>IF(I10="","",IF(I10&lt;R10,"添加",IF(I10&gt;S10,"稀釋","")))</f>
        <v/>
      </c>
      <c r="L10" s="158" t="str">
        <f>IFERROR(IF(I10&gt;S10, "排液："&amp;ROUND(70*(1-3/I10)*0.32,1)&amp;" L"&amp;"
補水："&amp;ROUND(70*(1-3/I10)*0.32,1)&amp;" L", IF(I10&lt;R10, "鹽酸(32%)："&amp;ROUND(((3-I10)*70/100)/0.32, 2)&amp;" L", "")), "")</f>
        <v/>
      </c>
      <c r="M10" s="9"/>
      <c r="N10" s="89" t="str">
        <f>IF(M10="","",3.2*M10*F值!$B$3)</f>
        <v/>
      </c>
      <c r="O10" s="18" t="str">
        <f t="shared" si="1"/>
        <v/>
      </c>
      <c r="P10" s="236" t="s">
        <v>205</v>
      </c>
      <c r="Q10" s="235">
        <v>70</v>
      </c>
      <c r="R10" s="91">
        <v>2.5</v>
      </c>
      <c r="S10" s="18">
        <v>3.9</v>
      </c>
    </row>
    <row r="11" spans="1:20" ht="60" customHeight="1">
      <c r="A11" s="209"/>
      <c r="B11" s="216"/>
      <c r="C11" s="26" t="s">
        <v>128</v>
      </c>
      <c r="D11" s="26" t="s">
        <v>133</v>
      </c>
      <c r="E11" s="141">
        <v>0</v>
      </c>
      <c r="F11" s="24" t="s">
        <v>19</v>
      </c>
      <c r="G11" s="31">
        <v>300</v>
      </c>
      <c r="H11" s="9"/>
      <c r="I11" s="3" t="str">
        <f>IF(H11="","",H11*1.5885*2/25*1000)</f>
        <v/>
      </c>
      <c r="J11" s="18" t="str">
        <f t="shared" si="0"/>
        <v/>
      </c>
      <c r="K11" s="22" t="str">
        <f>IF(I11="","",IF(I11&gt;S11,"更槽",""))</f>
        <v/>
      </c>
      <c r="L11" s="158"/>
      <c r="M11" s="9"/>
      <c r="N11" s="89" t="str">
        <f>IF(M11="","",M11*1.5885*2/25*1000)</f>
        <v/>
      </c>
      <c r="O11" s="18" t="str">
        <f t="shared" si="1"/>
        <v/>
      </c>
      <c r="P11" s="237"/>
      <c r="Q11" s="235"/>
      <c r="R11" s="91" t="s">
        <v>170</v>
      </c>
      <c r="S11" s="18">
        <v>300</v>
      </c>
    </row>
    <row r="12" spans="1:20" ht="60" customHeight="1">
      <c r="A12" s="209"/>
      <c r="B12" s="106" t="s">
        <v>134</v>
      </c>
      <c r="C12" s="26" t="s">
        <v>135</v>
      </c>
      <c r="D12" s="20" t="s">
        <v>124</v>
      </c>
      <c r="E12" s="23">
        <v>5</v>
      </c>
      <c r="F12" s="24" t="s">
        <v>19</v>
      </c>
      <c r="G12" s="32">
        <v>999</v>
      </c>
      <c r="H12" s="133" t="s">
        <v>34</v>
      </c>
      <c r="I12" s="7"/>
      <c r="J12" s="18" t="str">
        <f t="shared" si="0"/>
        <v/>
      </c>
      <c r="K12" s="22" t="str">
        <f>IF(I12="","",IF(I12&lt;S12,"更槽",""))</f>
        <v/>
      </c>
      <c r="L12" s="158"/>
      <c r="M12" s="133" t="s">
        <v>34</v>
      </c>
      <c r="N12" s="7"/>
      <c r="O12" s="18" t="str">
        <f t="shared" si="1"/>
        <v/>
      </c>
      <c r="P12" s="91" t="s">
        <v>182</v>
      </c>
      <c r="Q12" s="91">
        <v>70</v>
      </c>
      <c r="R12" s="91" t="s">
        <v>100</v>
      </c>
      <c r="S12" s="18">
        <v>5</v>
      </c>
    </row>
    <row r="13" spans="1:20" ht="60" customHeight="1">
      <c r="A13" s="221" t="s">
        <v>250</v>
      </c>
      <c r="B13" s="215" t="s">
        <v>136</v>
      </c>
      <c r="C13" s="18" t="s">
        <v>137</v>
      </c>
      <c r="D13" s="90" t="s">
        <v>138</v>
      </c>
      <c r="E13" s="23">
        <v>0.8</v>
      </c>
      <c r="F13" s="24" t="s">
        <v>19</v>
      </c>
      <c r="G13" s="25">
        <v>1.2</v>
      </c>
      <c r="H13" s="10"/>
      <c r="I13" s="121" t="str">
        <f>IF(H13="","",0.0212*4*H13*F值!$B$5)</f>
        <v/>
      </c>
      <c r="J13" s="18" t="str">
        <f t="shared" si="0"/>
        <v/>
      </c>
      <c r="K13" s="22" t="str">
        <f>IF(I13="","",IF(I13&lt;R13,"添加",IF(I13&gt;S13,"稀釋","")))</f>
        <v/>
      </c>
      <c r="L13" s="158" t="str">
        <f>IFERROR(IF(I13&gt;S13, "排液："&amp;ROUND(340*(1-1/I13), 0)&amp;" L"&amp;"
補水："&amp;ROUND(340*(1-1/I13), 0)&amp;" L", IF(I13&lt;R13, "碳酸鈉(15%)："&amp;ROUND(((1-I13)*340/100)/0.15, 1)&amp;" L", "")), "")</f>
        <v/>
      </c>
      <c r="M13" s="10"/>
      <c r="N13" s="89" t="str">
        <f>IF(M13="","",0.0212*4*M13*F值!$B$5)</f>
        <v/>
      </c>
      <c r="O13" s="18" t="str">
        <f t="shared" si="1"/>
        <v/>
      </c>
      <c r="P13" s="236" t="s">
        <v>204</v>
      </c>
      <c r="Q13" s="235">
        <v>600</v>
      </c>
      <c r="R13" s="91">
        <v>0.9</v>
      </c>
      <c r="S13" s="18">
        <v>1.1000000000000001</v>
      </c>
    </row>
    <row r="14" spans="1:20" ht="60" customHeight="1">
      <c r="A14" s="222"/>
      <c r="B14" s="217"/>
      <c r="C14" s="122" t="s">
        <v>32</v>
      </c>
      <c r="D14" s="20" t="s">
        <v>139</v>
      </c>
      <c r="E14" s="92">
        <v>10.7</v>
      </c>
      <c r="F14" s="24" t="s">
        <v>19</v>
      </c>
      <c r="G14" s="123">
        <v>999</v>
      </c>
      <c r="H14" s="5" t="s">
        <v>34</v>
      </c>
      <c r="I14" s="8"/>
      <c r="J14" s="18" t="str">
        <f t="shared" si="0"/>
        <v/>
      </c>
      <c r="K14" s="22" t="str">
        <f>IF(I14="","",IF(I14&lt;S14,"更槽",""))</f>
        <v/>
      </c>
      <c r="L14" s="158"/>
      <c r="M14" s="5" t="s">
        <v>34</v>
      </c>
      <c r="N14" s="7"/>
      <c r="O14" s="18" t="str">
        <f t="shared" si="1"/>
        <v/>
      </c>
      <c r="P14" s="237"/>
      <c r="Q14" s="235"/>
      <c r="R14" s="91" t="s">
        <v>100</v>
      </c>
      <c r="S14" s="18">
        <v>10.7</v>
      </c>
    </row>
    <row r="15" spans="1:20" ht="60" customHeight="1">
      <c r="A15" s="222"/>
      <c r="B15" s="215" t="s">
        <v>140</v>
      </c>
      <c r="C15" s="26" t="s">
        <v>137</v>
      </c>
      <c r="D15" s="26" t="s">
        <v>138</v>
      </c>
      <c r="E15" s="30">
        <v>0.8</v>
      </c>
      <c r="F15" s="24" t="s">
        <v>19</v>
      </c>
      <c r="G15" s="31">
        <v>1.2</v>
      </c>
      <c r="H15" s="11"/>
      <c r="I15" s="125" t="str">
        <f>IF(H15="","",0.0212*4*H15*F值!$B$5)</f>
        <v/>
      </c>
      <c r="J15" s="18" t="str">
        <f t="shared" si="0"/>
        <v/>
      </c>
      <c r="K15" s="22" t="str">
        <f>IF(I15="","",IF(I15&lt;R15,"添加",IF(I15&gt;S15,"稀釋","")))</f>
        <v/>
      </c>
      <c r="L15" s="158" t="str">
        <f>IFERROR(IF(I15&gt;S15, "排液："&amp;ROUND(100*(1-1/I15), 0)&amp;" L"&amp;"
補水："&amp;ROUND(100*(1-1/I15), 0)&amp;" L", IF(I15&lt;R15, "碳酸鈉(15%)："&amp;ROUND(((1-I15)*100/100)/0.15, 1)&amp;" L", "")), "")</f>
        <v/>
      </c>
      <c r="M15" s="11"/>
      <c r="N15" s="89" t="str">
        <f>IF(M15="","",0.0212*4*M15*F值!$B$5)</f>
        <v/>
      </c>
      <c r="O15" s="18" t="str">
        <f t="shared" si="1"/>
        <v/>
      </c>
      <c r="P15" s="236" t="s">
        <v>204</v>
      </c>
      <c r="Q15" s="235">
        <v>160</v>
      </c>
      <c r="R15" s="91">
        <v>0.9</v>
      </c>
      <c r="S15" s="18">
        <v>1.1000000000000001</v>
      </c>
    </row>
    <row r="16" spans="1:20" ht="60" customHeight="1">
      <c r="A16" s="223"/>
      <c r="B16" s="216"/>
      <c r="C16" s="126" t="s">
        <v>32</v>
      </c>
      <c r="D16" s="20" t="s">
        <v>139</v>
      </c>
      <c r="E16" s="23">
        <v>10.7</v>
      </c>
      <c r="F16" s="24" t="s">
        <v>19</v>
      </c>
      <c r="G16" s="32">
        <v>999</v>
      </c>
      <c r="H16" s="5" t="s">
        <v>34</v>
      </c>
      <c r="I16" s="7"/>
      <c r="J16" s="18" t="str">
        <f t="shared" si="0"/>
        <v/>
      </c>
      <c r="K16" s="22" t="str">
        <f>IF(I16="","",IF(I16&lt;S16,"更槽",""))</f>
        <v/>
      </c>
      <c r="L16" s="158"/>
      <c r="M16" s="5" t="s">
        <v>34</v>
      </c>
      <c r="N16" s="7"/>
      <c r="O16" s="18" t="str">
        <f t="shared" si="1"/>
        <v/>
      </c>
      <c r="P16" s="237"/>
      <c r="Q16" s="235"/>
      <c r="R16" s="91" t="s">
        <v>100</v>
      </c>
      <c r="S16" s="18">
        <v>10.7</v>
      </c>
    </row>
    <row r="17" spans="1:19" ht="60" customHeight="1">
      <c r="A17" s="208" t="s">
        <v>251</v>
      </c>
      <c r="B17" s="148" t="s">
        <v>157</v>
      </c>
      <c r="C17" s="26" t="s">
        <v>141</v>
      </c>
      <c r="D17" s="26" t="s">
        <v>142</v>
      </c>
      <c r="E17" s="30">
        <v>10</v>
      </c>
      <c r="F17" s="149" t="s">
        <v>19</v>
      </c>
      <c r="G17" s="31">
        <v>14</v>
      </c>
      <c r="H17" s="11"/>
      <c r="I17" s="125" t="str">
        <f>IF(H17="","",H17/5*6.98*F值!$B$5)</f>
        <v/>
      </c>
      <c r="J17" s="18" t="str">
        <f t="shared" si="0"/>
        <v/>
      </c>
      <c r="K17" s="22" t="str">
        <f t="shared" ref="K17:K25" si="2">IF(I17="","",IF(I17&lt;R17,"添加",IF(I17&gt;S17,"稀釋","")))</f>
        <v/>
      </c>
      <c r="L17" s="158" t="str">
        <f>IFERROR(IF(I17&gt;S17, "排液："&amp;ROUND(540*(1-12/I17), 0)&amp;" L"&amp;"
補水："&amp;ROUND(540*(1-12/I17), 0)&amp;" L", IF(I17&lt;R17, "CXW-PS318(A/B)："&amp;ROUND(((12-I17)*540/100/2), 1)&amp;" L", "")), "")</f>
        <v/>
      </c>
      <c r="M17" s="11"/>
      <c r="N17" s="89" t="str">
        <f>IF(M17="","",M17/5*6.98*F值!$B$5)</f>
        <v/>
      </c>
      <c r="O17" s="18" t="str">
        <f t="shared" si="1"/>
        <v/>
      </c>
      <c r="P17" s="147" t="s">
        <v>201</v>
      </c>
      <c r="Q17" s="134">
        <v>540</v>
      </c>
      <c r="R17" s="134">
        <v>11</v>
      </c>
      <c r="S17" s="18">
        <v>13.9</v>
      </c>
    </row>
    <row r="18" spans="1:19" ht="60" customHeight="1">
      <c r="A18" s="209"/>
      <c r="B18" s="160" t="s">
        <v>167</v>
      </c>
      <c r="C18" s="18" t="s">
        <v>141</v>
      </c>
      <c r="D18" s="18" t="s">
        <v>142</v>
      </c>
      <c r="E18" s="30">
        <v>10</v>
      </c>
      <c r="F18" s="149" t="s">
        <v>19</v>
      </c>
      <c r="G18" s="31">
        <v>14</v>
      </c>
      <c r="H18" s="9"/>
      <c r="I18" s="89" t="str">
        <f>IF(H18="","",H18/5*6.98*F值!$B$5)</f>
        <v/>
      </c>
      <c r="J18" s="18" t="str">
        <f t="shared" si="0"/>
        <v/>
      </c>
      <c r="K18" s="22" t="str">
        <f t="shared" si="2"/>
        <v/>
      </c>
      <c r="L18" s="158" t="str">
        <f>IFERROR(IF(I18&gt;S18, "排液："&amp;ROUND(160*(1-12/I18), 0)&amp;" L"&amp;"
補水："&amp;ROUND(160*(1-12/I18), 0)&amp;" L", IF(I18&lt;R18, "CXW-PS318(A/B)："&amp;ROUND(((12-I18)*160/100/2), 1)&amp;" L", "")), "")</f>
        <v/>
      </c>
      <c r="M18" s="9"/>
      <c r="N18" s="89" t="str">
        <f>IF(M18="","",M18/5*6.98*F值!$B$5)</f>
        <v/>
      </c>
      <c r="O18" s="18" t="str">
        <f t="shared" si="1"/>
        <v/>
      </c>
      <c r="P18" s="147" t="s">
        <v>201</v>
      </c>
      <c r="Q18" s="134">
        <v>160</v>
      </c>
      <c r="R18" s="134">
        <v>11</v>
      </c>
      <c r="S18" s="18">
        <v>13.9</v>
      </c>
    </row>
    <row r="19" spans="1:19" ht="60" customHeight="1">
      <c r="A19" s="209"/>
      <c r="B19" s="139" t="s">
        <v>165</v>
      </c>
      <c r="C19" s="90" t="s">
        <v>126</v>
      </c>
      <c r="D19" s="18" t="s">
        <v>105</v>
      </c>
      <c r="E19" s="23">
        <v>4</v>
      </c>
      <c r="F19" s="24" t="s">
        <v>19</v>
      </c>
      <c r="G19" s="25">
        <v>6</v>
      </c>
      <c r="H19" s="9"/>
      <c r="I19" s="128" t="str">
        <f>IF(H19="","",3.2*H19*F值!$B$3)</f>
        <v/>
      </c>
      <c r="J19" s="18" t="str">
        <f t="shared" si="0"/>
        <v/>
      </c>
      <c r="K19" s="22" t="str">
        <f t="shared" si="2"/>
        <v/>
      </c>
      <c r="L19" s="161" t="str">
        <f>IFERROR(IF(I19&gt;S19, "排液："&amp;ROUND(60*(1-5/I19)*0.5,1)&amp;" L"&amp;"
補水："&amp;ROUND(60*(1-5/I19)*0.5,1)&amp;" L", IF(I19&lt;R19, "硫酸(50%)："&amp;ROUND(((5-I19)*60/100)/0.5, 1)&amp;" L", "")), "")</f>
        <v/>
      </c>
      <c r="M19" s="9"/>
      <c r="N19" s="89" t="str">
        <f>IF(M19="","",3.2*M19*F值!$B$3)</f>
        <v/>
      </c>
      <c r="O19" s="18" t="str">
        <f t="shared" si="1"/>
        <v/>
      </c>
      <c r="P19" s="91" t="s">
        <v>202</v>
      </c>
      <c r="Q19" s="134">
        <v>60</v>
      </c>
      <c r="R19" s="134">
        <v>4.5</v>
      </c>
      <c r="S19" s="18">
        <v>5.95</v>
      </c>
    </row>
    <row r="20" spans="1:19" ht="60" customHeight="1">
      <c r="A20" s="209"/>
      <c r="B20" s="148" t="s">
        <v>168</v>
      </c>
      <c r="C20" s="26" t="s">
        <v>141</v>
      </c>
      <c r="D20" s="26" t="s">
        <v>142</v>
      </c>
      <c r="E20" s="30">
        <v>10</v>
      </c>
      <c r="F20" s="149" t="s">
        <v>19</v>
      </c>
      <c r="G20" s="31">
        <v>14</v>
      </c>
      <c r="H20" s="11"/>
      <c r="I20" s="125" t="str">
        <f>IF(H20="","",H20/5*6.98*F值!$B$5)</f>
        <v/>
      </c>
      <c r="J20" s="18" t="str">
        <f t="shared" si="0"/>
        <v/>
      </c>
      <c r="K20" s="22" t="str">
        <f t="shared" si="2"/>
        <v/>
      </c>
      <c r="L20" s="158" t="str">
        <f>IFERROR(IF(I20&gt;S20, "排液："&amp;ROUND(100*(1-12/I20), 0)&amp;" L"&amp;"
補水："&amp;ROUND(100*(1-12/I20), 0)&amp;" L", IF(I20&lt;R20, "CXW-PS318(A/B)："&amp;ROUND(((12-I20)*100/100/2), 1)&amp;" L", "")), "")</f>
        <v/>
      </c>
      <c r="M20" s="11"/>
      <c r="N20" s="89" t="str">
        <f>IF(M20="","",M20/5*6.98*F值!$B$5)</f>
        <v/>
      </c>
      <c r="O20" s="18" t="str">
        <f t="shared" si="1"/>
        <v/>
      </c>
      <c r="P20" s="147" t="s">
        <v>201</v>
      </c>
      <c r="Q20" s="134">
        <v>100</v>
      </c>
      <c r="R20" s="134">
        <v>11</v>
      </c>
      <c r="S20" s="18">
        <v>13.9</v>
      </c>
    </row>
    <row r="21" spans="1:19" ht="60" customHeight="1">
      <c r="A21" s="209"/>
      <c r="B21" s="148" t="s">
        <v>169</v>
      </c>
      <c r="C21" s="26" t="s">
        <v>141</v>
      </c>
      <c r="D21" s="26" t="s">
        <v>142</v>
      </c>
      <c r="E21" s="30">
        <v>10</v>
      </c>
      <c r="F21" s="149" t="s">
        <v>19</v>
      </c>
      <c r="G21" s="31">
        <v>14</v>
      </c>
      <c r="H21" s="11"/>
      <c r="I21" s="125" t="str">
        <f>IF(H21="","",H21/5*6.98*F值!$B$6)</f>
        <v/>
      </c>
      <c r="J21" s="18" t="str">
        <f t="shared" si="0"/>
        <v/>
      </c>
      <c r="K21" s="22" t="str">
        <f t="shared" si="2"/>
        <v/>
      </c>
      <c r="L21" s="158" t="str">
        <f>IFERROR(IF(I21&gt;S21, "排液："&amp;ROUND(100*(1-12/I21), 0)&amp;" L"&amp;"
補水："&amp;ROUND(100*(1-12/I21), 0)&amp;" L", IF(I21&lt;R21, "CXW-PS318(A/B)："&amp;ROUND(((12-I21)*100/100/2), 1)&amp;" L", "")), "")</f>
        <v/>
      </c>
      <c r="M21" s="11"/>
      <c r="N21" s="89" t="str">
        <f>IF(M21="","",M21/5*6.98*F值!$B$6)</f>
        <v/>
      </c>
      <c r="O21" s="18" t="str">
        <f t="shared" si="1"/>
        <v/>
      </c>
      <c r="P21" s="147" t="s">
        <v>201</v>
      </c>
      <c r="Q21" s="134">
        <v>100</v>
      </c>
      <c r="R21" s="134">
        <v>11</v>
      </c>
      <c r="S21" s="18">
        <v>13.9</v>
      </c>
    </row>
    <row r="22" spans="1:19" ht="60" customHeight="1">
      <c r="A22" s="208" t="s">
        <v>252</v>
      </c>
      <c r="B22" s="218" t="s">
        <v>166</v>
      </c>
      <c r="C22" s="18" t="s">
        <v>144</v>
      </c>
      <c r="D22" s="18" t="s">
        <v>111</v>
      </c>
      <c r="E22" s="23">
        <v>2</v>
      </c>
      <c r="F22" s="24" t="s">
        <v>19</v>
      </c>
      <c r="G22" s="25">
        <v>4</v>
      </c>
      <c r="H22" s="11"/>
      <c r="I22" s="129" t="str">
        <f>IF(H22="","",2.7*H22/5*F值!$B$3)</f>
        <v/>
      </c>
      <c r="J22" s="18" t="str">
        <f t="shared" si="0"/>
        <v/>
      </c>
      <c r="K22" s="22" t="str">
        <f t="shared" si="2"/>
        <v/>
      </c>
      <c r="L22" s="165" t="str">
        <f>IFERROR(IF(I22&gt;S22, "排液："&amp;ROUND(650*(1-3/I22)*0.5,1)&amp;" L"&amp;"
補水："&amp;ROUND(650*(1-3/I22)*0.5,1)&amp;" L", IF(I22&lt;R22, "硫酸(50%)："&amp;ROUND(((3-I22)*650/100)/0.5, 2)&amp;" L", "")), "")</f>
        <v/>
      </c>
      <c r="M22" s="11"/>
      <c r="N22" s="130" t="str">
        <f>IF(M22="","",2.7*M22/5*F值!$B$3)</f>
        <v/>
      </c>
      <c r="O22" s="18" t="str">
        <f t="shared" si="1"/>
        <v/>
      </c>
      <c r="P22" s="91" t="s">
        <v>202</v>
      </c>
      <c r="Q22" s="299">
        <v>650</v>
      </c>
      <c r="R22" s="135">
        <v>2.5</v>
      </c>
      <c r="S22" s="18">
        <v>3.8</v>
      </c>
    </row>
    <row r="23" spans="1:19" ht="60" customHeight="1">
      <c r="A23" s="209"/>
      <c r="B23" s="219"/>
      <c r="C23" s="26" t="s">
        <v>128</v>
      </c>
      <c r="D23" s="27" t="s">
        <v>145</v>
      </c>
      <c r="E23" s="23">
        <v>10</v>
      </c>
      <c r="F23" s="24" t="s">
        <v>19</v>
      </c>
      <c r="G23" s="25">
        <v>35</v>
      </c>
      <c r="H23" s="9"/>
      <c r="I23" s="130" t="str">
        <f>IF(H23="","",3.18*H23*F值!$B$6)</f>
        <v/>
      </c>
      <c r="J23" s="18" t="str">
        <f t="shared" si="0"/>
        <v/>
      </c>
      <c r="K23" s="22" t="str">
        <f t="shared" si="2"/>
        <v/>
      </c>
      <c r="L23" s="165" t="str">
        <f>IFERROR(IF(I23&gt;S23, "排液："&amp;ROUND(650*(1-25/I23)*0.5,1)&amp;" L"&amp;"
補水："&amp;ROUND(650*(1-25/I23)*0.5,1)&amp;" L", IF(I23&lt;R23, "CuSO4．5H2O："&amp;ROUND(((25-I23)*650/100)/0.5, 2)&amp;" L", "")), "")</f>
        <v/>
      </c>
      <c r="M23" s="9"/>
      <c r="N23" s="130" t="str">
        <f>IF(M23="","",3.18*M23*F值!$B$6)</f>
        <v/>
      </c>
      <c r="O23" s="18" t="str">
        <f t="shared" si="1"/>
        <v/>
      </c>
      <c r="P23" s="91" t="s">
        <v>191</v>
      </c>
      <c r="Q23" s="299"/>
      <c r="R23" s="136">
        <v>11</v>
      </c>
      <c r="S23" s="18">
        <v>34</v>
      </c>
    </row>
    <row r="24" spans="1:19" ht="60" customHeight="1">
      <c r="A24" s="209"/>
      <c r="B24" s="220"/>
      <c r="C24" s="18" t="s">
        <v>146</v>
      </c>
      <c r="D24" s="18" t="s">
        <v>147</v>
      </c>
      <c r="E24" s="23">
        <v>4.5</v>
      </c>
      <c r="F24" s="24" t="s">
        <v>19</v>
      </c>
      <c r="G24" s="25">
        <v>7.5</v>
      </c>
      <c r="H24" s="9"/>
      <c r="I24" s="130" t="str">
        <f>IF(H24="","",0.428*2*H24*F值!$B$7)</f>
        <v/>
      </c>
      <c r="J24" s="18" t="str">
        <f t="shared" si="0"/>
        <v/>
      </c>
      <c r="K24" s="22" t="str">
        <f t="shared" si="2"/>
        <v/>
      </c>
      <c r="L24" s="165" t="str">
        <f>IFERROR(IF(I24&gt;S24, "排液："&amp;ROUND(650*(1-6/I24)*0.5,1)&amp;" L"&amp;"
補水："&amp;ROUND(650*(1-6/I24)*0.5,1)&amp;" L", IF(I24&lt;R24, "H2O2："&amp;ROUND(((6-I24)*650/100)/0.5, 2)&amp;" L", "")), "")</f>
        <v/>
      </c>
      <c r="M24" s="9"/>
      <c r="N24" s="130" t="str">
        <f>IF(M24="","",0.428*2*M24*F值!$B$7)</f>
        <v/>
      </c>
      <c r="O24" s="18" t="str">
        <f t="shared" si="1"/>
        <v/>
      </c>
      <c r="P24" s="91" t="s">
        <v>193</v>
      </c>
      <c r="Q24" s="299"/>
      <c r="R24" s="135">
        <v>5.5</v>
      </c>
      <c r="S24" s="18">
        <v>7.4</v>
      </c>
    </row>
    <row r="25" spans="1:19" ht="60" customHeight="1">
      <c r="A25" s="209"/>
      <c r="B25" s="107" t="s">
        <v>143</v>
      </c>
      <c r="C25" s="90" t="s">
        <v>126</v>
      </c>
      <c r="D25" s="90" t="s">
        <v>105</v>
      </c>
      <c r="E25" s="95">
        <v>4</v>
      </c>
      <c r="F25" s="24" t="s">
        <v>19</v>
      </c>
      <c r="G25" s="96">
        <v>6</v>
      </c>
      <c r="H25" s="13"/>
      <c r="I25" s="124" t="str">
        <f>IF(H25="","",3.2*H25*F值!$B$3)</f>
        <v/>
      </c>
      <c r="J25" s="18" t="str">
        <f t="shared" si="0"/>
        <v/>
      </c>
      <c r="K25" s="22" t="str">
        <f t="shared" si="2"/>
        <v/>
      </c>
      <c r="L25" s="158" t="str">
        <f>IFERROR(IF(I25&gt;S25, "排液："&amp;ROUND(55*(1-5/I25)*0.5,1)&amp;" L"&amp;"
補水："&amp;ROUND(55*(1-5/I25)*0.5,1)&amp;" L", IF(I25&lt;R25, "硫酸(50%)："&amp;ROUND(((5-I25)*55/100)/0.5, 2)&amp;" L", "")), "")</f>
        <v/>
      </c>
      <c r="M25" s="13"/>
      <c r="N25" s="89" t="str">
        <f>IF(M25="","",3.2*M25*F值!$B$3)</f>
        <v/>
      </c>
      <c r="O25" s="18" t="str">
        <f t="shared" si="1"/>
        <v/>
      </c>
      <c r="P25" s="91" t="s">
        <v>202</v>
      </c>
      <c r="Q25" s="134">
        <v>55</v>
      </c>
      <c r="R25" s="134">
        <v>4.5</v>
      </c>
      <c r="S25" s="18">
        <v>5.9</v>
      </c>
    </row>
    <row r="26" spans="1:19" ht="60" customHeight="1">
      <c r="A26" s="271"/>
      <c r="B26" s="20" t="s">
        <v>134</v>
      </c>
      <c r="C26" s="18" t="s">
        <v>32</v>
      </c>
      <c r="D26" s="20" t="s">
        <v>124</v>
      </c>
      <c r="E26" s="23">
        <v>5</v>
      </c>
      <c r="F26" s="24" t="s">
        <v>19</v>
      </c>
      <c r="G26" s="32">
        <v>999</v>
      </c>
      <c r="H26" s="5" t="s">
        <v>34</v>
      </c>
      <c r="I26" s="7"/>
      <c r="J26" s="18" t="str">
        <f t="shared" si="0"/>
        <v/>
      </c>
      <c r="K26" s="22" t="str">
        <f>IF(I26="","",IF(I26&gt;R26,"","更槽"))</f>
        <v/>
      </c>
      <c r="L26" s="167"/>
      <c r="M26" s="5" t="s">
        <v>34</v>
      </c>
      <c r="N26" s="7"/>
      <c r="O26" s="18" t="str">
        <f t="shared" si="1"/>
        <v/>
      </c>
      <c r="P26" s="91" t="s">
        <v>190</v>
      </c>
      <c r="Q26" s="134">
        <v>70</v>
      </c>
      <c r="R26" s="134">
        <v>5</v>
      </c>
      <c r="S26" s="18" t="s">
        <v>170</v>
      </c>
    </row>
    <row r="27" spans="1:19" ht="18" customHeight="1">
      <c r="A27" s="33" t="s">
        <v>23</v>
      </c>
      <c r="B27" s="34"/>
      <c r="C27" s="34"/>
      <c r="D27" s="34"/>
      <c r="E27" s="34"/>
      <c r="F27" s="34"/>
      <c r="G27" s="34"/>
      <c r="H27" s="34"/>
      <c r="I27" s="34"/>
      <c r="J27" s="35"/>
      <c r="R27"/>
      <c r="S27" s="17"/>
    </row>
    <row r="28" spans="1:19" ht="18" customHeight="1">
      <c r="A28" s="19"/>
      <c r="B28" s="15"/>
      <c r="D28" s="15"/>
      <c r="E28" s="15"/>
      <c r="F28" s="15"/>
      <c r="G28" s="15"/>
      <c r="H28" s="15"/>
      <c r="I28" s="15"/>
      <c r="J28" s="36"/>
    </row>
    <row r="29" spans="1:19" ht="18" customHeight="1">
      <c r="A29" s="238"/>
      <c r="B29" s="239"/>
      <c r="C29" s="239"/>
      <c r="D29" s="239"/>
      <c r="E29" s="239"/>
      <c r="F29" s="239"/>
      <c r="G29" s="239"/>
      <c r="H29" s="239"/>
      <c r="I29" s="239"/>
      <c r="J29" s="266"/>
    </row>
    <row r="30" spans="1:19" ht="18" customHeight="1">
      <c r="A30" s="267"/>
      <c r="B30" s="268"/>
      <c r="C30" s="268"/>
      <c r="D30" s="268"/>
      <c r="E30" s="268"/>
      <c r="F30" s="268"/>
      <c r="G30" s="268"/>
      <c r="H30" s="268"/>
      <c r="I30" s="268"/>
      <c r="J30" s="269"/>
    </row>
    <row r="31" spans="1:19" ht="18" customHeight="1">
      <c r="A31" s="37" t="s">
        <v>25</v>
      </c>
      <c r="C31" s="38" t="s">
        <v>26</v>
      </c>
      <c r="H31" s="38" t="s">
        <v>27</v>
      </c>
    </row>
    <row r="32" spans="1:19" ht="18" customHeight="1"/>
    <row r="33" ht="18" customHeight="1"/>
  </sheetData>
  <sheetProtection algorithmName="SHA-512" hashValue="y1f3k57KdZdgFZernYa5CvzcspTJT9DvxitVCK1MzFxdx02xGU+nUzWF7FS0ctUU1ExU79j416jQNfUDvkhI7w==" saltValue="axtDQwFB6iOZPxvHje6pOg==" spinCount="100000" sheet="1" objects="1" scenarios="1"/>
  <mergeCells count="25">
    <mergeCell ref="A29:J30"/>
    <mergeCell ref="Q22:Q24"/>
    <mergeCell ref="B5:J5"/>
    <mergeCell ref="B4:J4"/>
    <mergeCell ref="P8:P9"/>
    <mergeCell ref="P10:P11"/>
    <mergeCell ref="P13:P14"/>
    <mergeCell ref="P15:P16"/>
    <mergeCell ref="Q8:Q9"/>
    <mergeCell ref="Q10:Q11"/>
    <mergeCell ref="Q13:Q14"/>
    <mergeCell ref="Q15:Q16"/>
    <mergeCell ref="A13:A16"/>
    <mergeCell ref="A17:A21"/>
    <mergeCell ref="A22:A26"/>
    <mergeCell ref="B8:B9"/>
    <mergeCell ref="B10:B11"/>
    <mergeCell ref="B13:B14"/>
    <mergeCell ref="B15:B16"/>
    <mergeCell ref="B22:B24"/>
    <mergeCell ref="A1:I1"/>
    <mergeCell ref="A2:J2"/>
    <mergeCell ref="B3:J3"/>
    <mergeCell ref="E6:G6"/>
    <mergeCell ref="A7:A12"/>
  </mergeCells>
  <phoneticPr fontId="18" type="noConversion"/>
  <conditionalFormatting sqref="J7:J26">
    <cfRule type="containsText" dxfId="3" priority="11" operator="containsText" text="NG">
      <formula>NOT(ISERROR(SEARCH("NG",J7)))</formula>
    </cfRule>
  </conditionalFormatting>
  <conditionalFormatting sqref="O7:O26">
    <cfRule type="containsText" dxfId="2" priority="1" operator="containsText" text="NG">
      <formula>NOT(ISERROR(SEARCH("NG",O7)))</formula>
    </cfRule>
  </conditionalFormatting>
  <printOptions horizontalCentered="1"/>
  <pageMargins left="0.196527777777778" right="0" top="0.39305555555555599" bottom="0.196527777777778" header="0.31388888888888899" footer="0.31388888888888899"/>
  <pageSetup paperSize="9" scale="6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V35"/>
  <sheetViews>
    <sheetView showGridLines="0" zoomScale="40" zoomScaleNormal="4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29" sqref="H29"/>
    </sheetView>
  </sheetViews>
  <sheetFormatPr defaultColWidth="9" defaultRowHeight="30"/>
  <cols>
    <col min="1" max="1" width="14.25" style="14" customWidth="1"/>
    <col min="2" max="2" width="27.875" style="14" customWidth="1"/>
    <col min="3" max="3" width="28.875" style="15" customWidth="1"/>
    <col min="4" max="4" width="21.625" style="14" customWidth="1"/>
    <col min="5" max="5" width="10.625" style="14" customWidth="1"/>
    <col min="6" max="6" width="7.625" style="14" customWidth="1"/>
    <col min="7" max="7" width="10.625" style="14" customWidth="1"/>
    <col min="8" max="9" width="21.625" style="14" customWidth="1"/>
    <col min="10" max="10" width="21.625" style="15" customWidth="1"/>
    <col min="11" max="11" width="21.625" style="17" customWidth="1"/>
    <col min="12" max="12" width="50.625" style="17" customWidth="1"/>
    <col min="13" max="15" width="21.625" style="17" customWidth="1"/>
    <col min="16" max="16" width="30.625" style="17" customWidth="1"/>
    <col min="17" max="18" width="21.625" style="17" customWidth="1"/>
    <col min="19" max="19" width="21.625" style="14" customWidth="1"/>
    <col min="20" max="20" width="30.625" style="14" customWidth="1"/>
    <col min="21" max="22" width="30.625" style="189" customWidth="1"/>
    <col min="23" max="27" width="9" style="17"/>
    <col min="28" max="28" width="10.5" style="17"/>
    <col min="29" max="29" width="17.5" style="17"/>
    <col min="30" max="16384" width="9" style="17"/>
  </cols>
  <sheetData>
    <row r="1" spans="1:22" ht="27.75" customHeight="1">
      <c r="A1" s="200"/>
      <c r="B1" s="200"/>
      <c r="C1" s="200"/>
      <c r="D1" s="200"/>
      <c r="E1" s="200"/>
      <c r="F1" s="200"/>
      <c r="G1" s="200"/>
      <c r="H1" s="200"/>
      <c r="I1" s="200"/>
    </row>
    <row r="2" spans="1:22" ht="50.25">
      <c r="A2" s="201" t="s">
        <v>0</v>
      </c>
      <c r="B2" s="201"/>
      <c r="C2" s="201"/>
      <c r="D2" s="201"/>
      <c r="E2" s="201"/>
      <c r="F2" s="201"/>
      <c r="G2" s="201"/>
      <c r="H2" s="201"/>
      <c r="I2" s="201"/>
      <c r="J2" s="201"/>
    </row>
    <row r="3" spans="1:22" ht="35.1" customHeight="1">
      <c r="A3" s="18" t="s">
        <v>1</v>
      </c>
      <c r="B3" s="202" t="s">
        <v>220</v>
      </c>
      <c r="C3" s="203"/>
      <c r="D3" s="203"/>
      <c r="E3" s="203"/>
      <c r="F3" s="203"/>
      <c r="G3" s="203"/>
      <c r="H3" s="203"/>
      <c r="I3" s="203"/>
      <c r="J3" s="204"/>
    </row>
    <row r="4" spans="1:22" ht="35.1" customHeight="1">
      <c r="A4" s="18" t="s">
        <v>2</v>
      </c>
      <c r="B4" s="228"/>
      <c r="C4" s="229"/>
      <c r="D4" s="229"/>
      <c r="E4" s="229"/>
      <c r="F4" s="229"/>
      <c r="G4" s="229"/>
      <c r="H4" s="229"/>
      <c r="I4" s="229"/>
      <c r="J4" s="230"/>
    </row>
    <row r="5" spans="1:22" ht="35.1" customHeight="1">
      <c r="A5" s="18" t="s">
        <v>3</v>
      </c>
      <c r="B5" s="231"/>
      <c r="C5" s="232"/>
      <c r="D5" s="232"/>
      <c r="E5" s="232"/>
      <c r="F5" s="232"/>
      <c r="G5" s="232"/>
      <c r="H5" s="232"/>
      <c r="I5" s="232"/>
      <c r="J5" s="233"/>
      <c r="M5" s="163" t="s">
        <v>206</v>
      </c>
      <c r="N5" s="163"/>
      <c r="O5" s="163"/>
      <c r="T5" s="226" t="s">
        <v>229</v>
      </c>
      <c r="U5" s="226"/>
      <c r="V5" s="226"/>
    </row>
    <row r="6" spans="1:22" ht="35.1" customHeight="1">
      <c r="A6" s="46" t="s">
        <v>1</v>
      </c>
      <c r="B6" s="46" t="s">
        <v>4</v>
      </c>
      <c r="C6" s="47" t="s">
        <v>5</v>
      </c>
      <c r="D6" s="47" t="s">
        <v>6</v>
      </c>
      <c r="E6" s="205" t="s">
        <v>7</v>
      </c>
      <c r="F6" s="206"/>
      <c r="G6" s="207"/>
      <c r="H6" s="47" t="s">
        <v>8</v>
      </c>
      <c r="I6" s="48" t="s">
        <v>9</v>
      </c>
      <c r="J6" s="47" t="s">
        <v>10</v>
      </c>
      <c r="K6" s="1" t="s">
        <v>11</v>
      </c>
      <c r="L6" s="2" t="s">
        <v>13</v>
      </c>
      <c r="M6" s="47" t="s">
        <v>8</v>
      </c>
      <c r="N6" s="47" t="s">
        <v>9</v>
      </c>
      <c r="O6" s="47" t="s">
        <v>10</v>
      </c>
      <c r="P6" s="2" t="s">
        <v>12</v>
      </c>
      <c r="Q6" s="2" t="s">
        <v>14</v>
      </c>
      <c r="R6" s="152" t="s">
        <v>15</v>
      </c>
      <c r="S6" s="18" t="s">
        <v>75</v>
      </c>
      <c r="T6" s="190" t="s">
        <v>230</v>
      </c>
      <c r="U6" s="190" t="s">
        <v>231</v>
      </c>
      <c r="V6" s="190" t="s">
        <v>232</v>
      </c>
    </row>
    <row r="7" spans="1:22" ht="60" customHeight="1">
      <c r="A7" s="208" t="s">
        <v>245</v>
      </c>
      <c r="B7" s="20" t="s">
        <v>125</v>
      </c>
      <c r="C7" s="18" t="s">
        <v>126</v>
      </c>
      <c r="D7" s="18" t="s">
        <v>111</v>
      </c>
      <c r="E7" s="23">
        <v>2</v>
      </c>
      <c r="F7" s="24" t="s">
        <v>19</v>
      </c>
      <c r="G7" s="25">
        <v>4</v>
      </c>
      <c r="H7" s="113"/>
      <c r="I7" s="3" t="str">
        <f>IF(H7="","",3.2*H7*F值!$B$3)</f>
        <v/>
      </c>
      <c r="J7" s="18" t="str">
        <f>IF(I7="","",IF(OR(I7&lt;E7,I7&gt;G7),"NG","OK"))</f>
        <v/>
      </c>
      <c r="K7" s="22" t="str">
        <f>IF(I7="","",IF(I7&lt;R7,"添加",IF(I7&gt;S7,"稀釋","")))</f>
        <v/>
      </c>
      <c r="L7" s="158" t="str">
        <f>IFERROR(IF(I7&gt;S7, "排液："&amp;ROUND(120*(1-3.2/I7)*0.5,1)&amp;" L"&amp;"
補水："&amp;ROUND(120*(1-3.2/I7)*0.5,1)&amp;" L", IF(I7&lt;R7, "硫酸50%："&amp;ROUND(((3.2-I7)*120/100)/0.5, 2)&amp;" L", "")), "")</f>
        <v/>
      </c>
      <c r="M7" s="113"/>
      <c r="N7" s="89" t="str">
        <f>IF(M7="","",3.2*M7*F值!$B$3)</f>
        <v/>
      </c>
      <c r="O7" s="18" t="str">
        <f>IF(N7="","",IF(OR(N7&lt;E7,N7&gt;G7),"NG","OK"))</f>
        <v/>
      </c>
      <c r="P7" s="91" t="s">
        <v>181</v>
      </c>
      <c r="Q7" s="119">
        <v>120</v>
      </c>
      <c r="R7" s="153">
        <v>2.5</v>
      </c>
      <c r="S7" s="18">
        <v>3.9</v>
      </c>
    </row>
    <row r="8" spans="1:22" ht="60" customHeight="1">
      <c r="A8" s="209"/>
      <c r="B8" s="213" t="s">
        <v>127</v>
      </c>
      <c r="C8" s="26" t="s">
        <v>128</v>
      </c>
      <c r="D8" s="27" t="s">
        <v>129</v>
      </c>
      <c r="E8" s="120">
        <v>0</v>
      </c>
      <c r="F8" s="24" t="s">
        <v>19</v>
      </c>
      <c r="G8" s="29">
        <v>42</v>
      </c>
      <c r="H8" s="113"/>
      <c r="I8" s="3" t="str">
        <f>IF(H8="","",3.177*H8*F值!$B$6)</f>
        <v/>
      </c>
      <c r="J8" s="18" t="str">
        <f t="shared" ref="J8:J29" si="0">IF(I8="","",IF(OR(I8&lt;E8,I8&gt;G8),"NG","OK"))</f>
        <v/>
      </c>
      <c r="K8" s="22" t="str">
        <f>IF(I8="","",IF(I8&lt;R8,"添加",IF(I8&gt;S8,"稀釋","")))</f>
        <v/>
      </c>
      <c r="L8" s="158" t="str">
        <f>IFERROR(IF(I8&gt;S8, "排液："&amp;ROUND(400*(1-39/I8), 0)&amp;" L"&amp;"
補CS3302R："&amp;ROUND(400*(1-39/I8), 0)&amp;" L", IF(I8&lt;R8, "CS-3302M："&amp;ROUND(((39-I8)*400/1000), 2)&amp;" L", "")), "")</f>
        <v/>
      </c>
      <c r="M8" s="113"/>
      <c r="N8" s="89" t="str">
        <f>IF(M8="","",3.177*M8*F值!$B$6)</f>
        <v/>
      </c>
      <c r="O8" s="18" t="str">
        <f t="shared" ref="O8:O29" si="1">IF(N8="","",IF(OR(N8&lt;E8,N8&gt;G8),"NG","OK"))</f>
        <v/>
      </c>
      <c r="P8" s="235" t="s">
        <v>188</v>
      </c>
      <c r="Q8" s="234">
        <v>400</v>
      </c>
      <c r="R8" s="153">
        <v>12</v>
      </c>
      <c r="S8" s="18">
        <v>22</v>
      </c>
    </row>
    <row r="9" spans="1:22" ht="60" customHeight="1">
      <c r="A9" s="209"/>
      <c r="B9" s="214"/>
      <c r="C9" s="18" t="s">
        <v>130</v>
      </c>
      <c r="D9" s="18" t="s">
        <v>131</v>
      </c>
      <c r="E9" s="23">
        <v>1.05</v>
      </c>
      <c r="F9" s="24" t="s">
        <v>19</v>
      </c>
      <c r="G9" s="25">
        <v>1.1499999999999999</v>
      </c>
      <c r="H9" s="114" t="s">
        <v>34</v>
      </c>
      <c r="I9" s="6"/>
      <c r="J9" s="18" t="str">
        <f t="shared" si="0"/>
        <v/>
      </c>
      <c r="K9" s="22" t="str">
        <f>IF(I9="","",IF(I9&lt;R9,"添加",IF(I9&gt;S9,"稀釋","")))</f>
        <v/>
      </c>
      <c r="L9" s="158" t="str">
        <f>IFERROR(IF(I9&gt;S9, "排液："&amp;ROUND(400*(1-1.07/I9), 0)&amp;" L"&amp;"
補CS3302R："&amp;ROUND(400*(1-1.07/I9), 0)&amp;" L", IF(I9="","",IF(I9&lt;R9, "CS-3302M："&amp;ROUND(((1.07-I9)*400), 2)&amp;" L", ""))), "")</f>
        <v/>
      </c>
      <c r="M9" s="114" t="s">
        <v>34</v>
      </c>
      <c r="N9" s="7"/>
      <c r="O9" s="18" t="str">
        <f t="shared" si="1"/>
        <v/>
      </c>
      <c r="P9" s="235"/>
      <c r="Q9" s="234"/>
      <c r="R9" s="153">
        <v>1.07</v>
      </c>
      <c r="S9" s="18">
        <v>1.1299999999999999</v>
      </c>
    </row>
    <row r="10" spans="1:22" ht="60" customHeight="1">
      <c r="A10" s="209"/>
      <c r="B10" s="215" t="s">
        <v>132</v>
      </c>
      <c r="C10" s="18" t="s">
        <v>126</v>
      </c>
      <c r="D10" s="18" t="s">
        <v>111</v>
      </c>
      <c r="E10" s="23">
        <v>2</v>
      </c>
      <c r="F10" s="24" t="s">
        <v>19</v>
      </c>
      <c r="G10" s="25">
        <v>4</v>
      </c>
      <c r="H10" s="113"/>
      <c r="I10" s="3" t="str">
        <f>IF(H10="","",3.2*H10*F值!$B$3)</f>
        <v/>
      </c>
      <c r="J10" s="18" t="str">
        <f t="shared" si="0"/>
        <v/>
      </c>
      <c r="K10" s="22" t="str">
        <f>IF(I10="","",IF(I10&lt;R10,"添加",IF(I10&gt;S10,"稀釋","")))</f>
        <v/>
      </c>
      <c r="L10" s="158" t="str">
        <f>IFERROR(IF(I10&gt;S10, "排液："&amp;ROUND(120*(1-3.2/I10)*0.32,1)&amp;" L"&amp;"
補水："&amp;ROUND(120*(1-3.2/I10)*0.32,1)&amp;" L", IF(I10&lt;R10, "鹽酸50%："&amp;ROUND(((3.2-I10)*120/100)/0.32, 2)&amp;" L", "")), "")</f>
        <v/>
      </c>
      <c r="M10" s="113"/>
      <c r="N10" s="89" t="str">
        <f>IF(M10="","",3.2*M10*F值!$B$3)</f>
        <v/>
      </c>
      <c r="O10" s="18" t="str">
        <f t="shared" si="1"/>
        <v/>
      </c>
      <c r="P10" s="235" t="s">
        <v>189</v>
      </c>
      <c r="Q10" s="234">
        <v>120</v>
      </c>
      <c r="R10" s="153">
        <v>2.5</v>
      </c>
      <c r="S10" s="18">
        <v>3.9</v>
      </c>
    </row>
    <row r="11" spans="1:22" ht="60" customHeight="1">
      <c r="A11" s="209"/>
      <c r="B11" s="216"/>
      <c r="C11" s="26" t="s">
        <v>128</v>
      </c>
      <c r="D11" s="26" t="s">
        <v>133</v>
      </c>
      <c r="E11" s="146">
        <v>0</v>
      </c>
      <c r="F11" s="24" t="s">
        <v>19</v>
      </c>
      <c r="G11" s="31">
        <v>300</v>
      </c>
      <c r="H11" s="113"/>
      <c r="I11" s="3" t="str">
        <f>IF(H11="","",H11*1.5885*2/25*1000)</f>
        <v/>
      </c>
      <c r="J11" s="18" t="str">
        <f t="shared" si="0"/>
        <v/>
      </c>
      <c r="K11" s="22" t="str">
        <f>IF(I11="","",IF(I11&gt;S11,"更槽",""))</f>
        <v/>
      </c>
      <c r="L11" s="158"/>
      <c r="M11" s="113"/>
      <c r="N11" s="89" t="str">
        <f>IF(M11="","",M11*1.5885*2/25*1000)</f>
        <v/>
      </c>
      <c r="O11" s="18" t="str">
        <f t="shared" si="1"/>
        <v/>
      </c>
      <c r="P11" s="235"/>
      <c r="Q11" s="234"/>
      <c r="R11" s="153" t="s">
        <v>100</v>
      </c>
      <c r="S11" s="18">
        <v>300</v>
      </c>
    </row>
    <row r="12" spans="1:22" ht="60" customHeight="1">
      <c r="A12" s="209"/>
      <c r="B12" s="106" t="s">
        <v>134</v>
      </c>
      <c r="C12" s="26" t="s">
        <v>135</v>
      </c>
      <c r="D12" s="20" t="s">
        <v>124</v>
      </c>
      <c r="E12" s="23">
        <v>5</v>
      </c>
      <c r="F12" s="24" t="s">
        <v>19</v>
      </c>
      <c r="G12" s="32">
        <v>999</v>
      </c>
      <c r="H12" s="114" t="s">
        <v>34</v>
      </c>
      <c r="I12" s="7"/>
      <c r="J12" s="18" t="str">
        <f t="shared" si="0"/>
        <v/>
      </c>
      <c r="K12" s="22" t="str">
        <f>IF(I12="","",IF(I12&lt;S12,"更槽",""))</f>
        <v/>
      </c>
      <c r="L12" s="158"/>
      <c r="M12" s="114" t="s">
        <v>34</v>
      </c>
      <c r="N12" s="7"/>
      <c r="O12" s="18" t="str">
        <f t="shared" si="1"/>
        <v/>
      </c>
      <c r="P12" s="91" t="s">
        <v>190</v>
      </c>
      <c r="Q12" s="119">
        <v>120</v>
      </c>
      <c r="R12" s="153" t="s">
        <v>100</v>
      </c>
      <c r="S12" s="18">
        <v>5</v>
      </c>
    </row>
    <row r="13" spans="1:22" ht="60" customHeight="1">
      <c r="A13" s="221" t="s">
        <v>246</v>
      </c>
      <c r="B13" s="215" t="s">
        <v>136</v>
      </c>
      <c r="C13" s="18" t="s">
        <v>137</v>
      </c>
      <c r="D13" s="90" t="s">
        <v>138</v>
      </c>
      <c r="E13" s="23">
        <v>0.8</v>
      </c>
      <c r="F13" s="24" t="s">
        <v>19</v>
      </c>
      <c r="G13" s="25">
        <v>1.2</v>
      </c>
      <c r="H13" s="115"/>
      <c r="I13" s="121" t="str">
        <f>IF(H13="","",0.0212*4*H13*F值!$B$5)</f>
        <v/>
      </c>
      <c r="J13" s="18" t="str">
        <f t="shared" si="0"/>
        <v/>
      </c>
      <c r="K13" s="22" t="str">
        <f>IF(I13="","",IF(I13&lt;R13,"添加",IF(I13&gt;S13,"稀釋","")))</f>
        <v/>
      </c>
      <c r="L13" s="158" t="str">
        <f>IFERROR(IF(I13&gt;S13, "排液："&amp;ROUND(600*(1-1/I13), 0)&amp;" L"&amp;"
補水："&amp;ROUND(600*(1-1/I13), 0)&amp;" L", IF(I13&lt;R13, "碳酸鈉(15%)："&amp;ROUND(((1-I13)*600/100)/0.15, 2)&amp;" L", "")), "")</f>
        <v/>
      </c>
      <c r="M13" s="115"/>
      <c r="N13" s="89" t="str">
        <f>IF(M13="","",0.0212*4*M13*F值!$B$5)</f>
        <v/>
      </c>
      <c r="O13" s="18" t="str">
        <f t="shared" si="1"/>
        <v/>
      </c>
      <c r="P13" s="236" t="s">
        <v>204</v>
      </c>
      <c r="Q13" s="234">
        <v>600</v>
      </c>
      <c r="R13" s="153">
        <v>0.9</v>
      </c>
      <c r="S13" s="18">
        <v>1.1499999999999999</v>
      </c>
    </row>
    <row r="14" spans="1:22" ht="60" customHeight="1">
      <c r="A14" s="222"/>
      <c r="B14" s="217"/>
      <c r="C14" s="122" t="s">
        <v>32</v>
      </c>
      <c r="D14" s="20" t="s">
        <v>139</v>
      </c>
      <c r="E14" s="92">
        <v>10.7</v>
      </c>
      <c r="F14" s="24" t="s">
        <v>19</v>
      </c>
      <c r="G14" s="123">
        <v>999</v>
      </c>
      <c r="H14" s="114" t="s">
        <v>34</v>
      </c>
      <c r="I14" s="8"/>
      <c r="J14" s="18" t="str">
        <f t="shared" si="0"/>
        <v/>
      </c>
      <c r="K14" s="22" t="str">
        <f>IF(I14="","",IF(I14&lt;S14,"更槽",""))</f>
        <v/>
      </c>
      <c r="L14" s="158"/>
      <c r="M14" s="114" t="s">
        <v>34</v>
      </c>
      <c r="N14" s="7"/>
      <c r="O14" s="18" t="str">
        <f t="shared" si="1"/>
        <v/>
      </c>
      <c r="P14" s="237"/>
      <c r="Q14" s="234"/>
      <c r="R14" s="153" t="s">
        <v>100</v>
      </c>
      <c r="S14" s="18">
        <v>10.7</v>
      </c>
    </row>
    <row r="15" spans="1:22" ht="60" customHeight="1">
      <c r="A15" s="222"/>
      <c r="B15" s="215" t="s">
        <v>140</v>
      </c>
      <c r="C15" s="26" t="s">
        <v>137</v>
      </c>
      <c r="D15" s="26" t="s">
        <v>138</v>
      </c>
      <c r="E15" s="30">
        <v>0.8</v>
      </c>
      <c r="F15" s="24" t="s">
        <v>19</v>
      </c>
      <c r="G15" s="31">
        <v>1.2</v>
      </c>
      <c r="H15" s="116"/>
      <c r="I15" s="125" t="str">
        <f>IF(H15="","",0.0212*4*H15*F值!$B$5)</f>
        <v/>
      </c>
      <c r="J15" s="18" t="str">
        <f t="shared" si="0"/>
        <v/>
      </c>
      <c r="K15" s="22" t="str">
        <f>IF(I15="","",IF(I15&lt;R15,"添加",IF(I15&gt;S15,"稀釋","")))</f>
        <v/>
      </c>
      <c r="L15" s="158" t="str">
        <f>IFERROR(IF(I15&gt;S15, "排液："&amp;ROUND(160*(1-1/I15), 0)&amp;" L"&amp;"
補水："&amp;ROUND(160*(1-1/I15), 0)&amp;" L", IF(I15&lt;R15, "碳酸鈉(15%)："&amp;ROUND(((1-I15)*160/100)/0.15, 2)&amp;" L", "")), "")</f>
        <v/>
      </c>
      <c r="M15" s="116"/>
      <c r="N15" s="89" t="str">
        <f>IF(M15="","",0.0212*4*M15*F值!$B$5)</f>
        <v/>
      </c>
      <c r="O15" s="18" t="str">
        <f t="shared" si="1"/>
        <v/>
      </c>
      <c r="P15" s="236" t="s">
        <v>204</v>
      </c>
      <c r="Q15" s="234">
        <v>160</v>
      </c>
      <c r="R15" s="153">
        <v>0.9</v>
      </c>
      <c r="S15" s="18">
        <v>1.1499999999999999</v>
      </c>
    </row>
    <row r="16" spans="1:22" ht="60" customHeight="1">
      <c r="A16" s="223"/>
      <c r="B16" s="216"/>
      <c r="C16" s="126" t="s">
        <v>32</v>
      </c>
      <c r="D16" s="20" t="s">
        <v>139</v>
      </c>
      <c r="E16" s="23">
        <v>10.7</v>
      </c>
      <c r="F16" s="24" t="s">
        <v>19</v>
      </c>
      <c r="G16" s="32">
        <v>999</v>
      </c>
      <c r="H16" s="114" t="s">
        <v>34</v>
      </c>
      <c r="I16" s="7"/>
      <c r="J16" s="18" t="str">
        <f t="shared" si="0"/>
        <v/>
      </c>
      <c r="K16" s="22" t="str">
        <f>IF(I16="","",IF(I16&lt;S16,"更槽",""))</f>
        <v/>
      </c>
      <c r="L16" s="158"/>
      <c r="M16" s="114" t="s">
        <v>34</v>
      </c>
      <c r="N16" s="7"/>
      <c r="O16" s="18" t="str">
        <f t="shared" si="1"/>
        <v/>
      </c>
      <c r="P16" s="237"/>
      <c r="Q16" s="234"/>
      <c r="R16" s="153" t="s">
        <v>100</v>
      </c>
      <c r="S16" s="18">
        <v>10.7</v>
      </c>
    </row>
    <row r="17" spans="1:22" ht="60" customHeight="1">
      <c r="A17" s="208" t="s">
        <v>247</v>
      </c>
      <c r="B17" s="148" t="s">
        <v>157</v>
      </c>
      <c r="C17" s="26" t="s">
        <v>141</v>
      </c>
      <c r="D17" s="26" t="s">
        <v>148</v>
      </c>
      <c r="E17" s="30">
        <v>13</v>
      </c>
      <c r="F17" s="149" t="s">
        <v>19</v>
      </c>
      <c r="G17" s="31">
        <v>17</v>
      </c>
      <c r="H17" s="116"/>
      <c r="I17" s="125" t="str">
        <f>IF(H17="","",H17/5*11.45*F值!$B$5)</f>
        <v/>
      </c>
      <c r="J17" s="18" t="str">
        <f t="shared" si="0"/>
        <v/>
      </c>
      <c r="K17" s="22" t="str">
        <f>IF(I17="","",IF(I17&lt;R17,"添加",IF(I17&gt;S17,"稀釋","")))</f>
        <v/>
      </c>
      <c r="L17" s="158" t="str">
        <f>IFERROR(IF(I17&gt;S17, "排液：" &amp; ROUND(Q17*(1-I2/I17),0) &amp; " L", IF(I17&lt;R17, "CXW-PS318(A)：" &amp; ROUND(((15-I17)/15)*Q17*10%,0) &amp; " L" &amp; "
CXW-PS318(B)：" &amp; ROUND(((15-I17)/15)*Q17*5%,0) &amp; " L", "")),"")</f>
        <v/>
      </c>
      <c r="M17" s="116"/>
      <c r="N17" s="89" t="str">
        <f>IF(M17="","",M17/5*11.45*F值!$B$5)</f>
        <v/>
      </c>
      <c r="O17" s="18" t="str">
        <f t="shared" si="1"/>
        <v/>
      </c>
      <c r="P17" s="147" t="s">
        <v>201</v>
      </c>
      <c r="Q17" s="127">
        <v>900</v>
      </c>
      <c r="R17" s="154">
        <v>14</v>
      </c>
      <c r="S17" s="18">
        <v>16.899999999999999</v>
      </c>
      <c r="T17" s="14" t="s">
        <v>227</v>
      </c>
      <c r="U17" s="189">
        <v>46146</v>
      </c>
      <c r="V17" s="189">
        <v>46234</v>
      </c>
    </row>
    <row r="18" spans="1:22" ht="60" customHeight="1">
      <c r="A18" s="209"/>
      <c r="B18" s="148" t="s">
        <v>158</v>
      </c>
      <c r="C18" s="26" t="s">
        <v>141</v>
      </c>
      <c r="D18" s="26" t="s">
        <v>148</v>
      </c>
      <c r="E18" s="30">
        <v>13</v>
      </c>
      <c r="F18" s="149" t="s">
        <v>19</v>
      </c>
      <c r="G18" s="31">
        <v>17</v>
      </c>
      <c r="H18" s="116"/>
      <c r="I18" s="125" t="str">
        <f>IF(H18="","",H18/5*11.45*F值!$B$5)</f>
        <v/>
      </c>
      <c r="J18" s="18" t="str">
        <f t="shared" si="0"/>
        <v/>
      </c>
      <c r="K18" s="22" t="str">
        <f>IF(I18="","",IF(I18&lt;R18,"添加",IF(I18&gt;S18,"稀釋","")))</f>
        <v/>
      </c>
      <c r="L18" s="158" t="str">
        <f>IFERROR(IF(I18&gt;S18,"排液：" &amp; ROUND(Q18*(1-I3/I18),0) &amp; " L",IF(I18&lt;R18,"CXW-PS318(A): " &amp; ROUND(((15-I18)/15)*Q18*10%,0) &amp; " L" &amp;"
CXW-PS318(B): " &amp; ROUND(((15-I18)/15)*Q18*5%,0) &amp; " L","")),"")</f>
        <v/>
      </c>
      <c r="M18" s="116"/>
      <c r="N18" s="89" t="str">
        <f>IF(M18="","",M18/5*11.45*F值!$B$5)</f>
        <v/>
      </c>
      <c r="O18" s="18" t="str">
        <f t="shared" si="1"/>
        <v/>
      </c>
      <c r="P18" s="147" t="s">
        <v>201</v>
      </c>
      <c r="Q18" s="127">
        <v>1250</v>
      </c>
      <c r="R18" s="154">
        <v>14</v>
      </c>
      <c r="S18" s="18">
        <v>16.899999999999999</v>
      </c>
      <c r="T18" s="14" t="s">
        <v>227</v>
      </c>
      <c r="U18" s="189">
        <v>46146</v>
      </c>
      <c r="V18" s="189">
        <v>46234</v>
      </c>
    </row>
    <row r="19" spans="1:22" ht="60" customHeight="1">
      <c r="A19" s="209"/>
      <c r="B19" s="160" t="s">
        <v>159</v>
      </c>
      <c r="C19" s="18" t="s">
        <v>141</v>
      </c>
      <c r="D19" s="18" t="s">
        <v>148</v>
      </c>
      <c r="E19" s="30">
        <v>13</v>
      </c>
      <c r="F19" s="149" t="s">
        <v>19</v>
      </c>
      <c r="G19" s="31">
        <v>17</v>
      </c>
      <c r="H19" s="113"/>
      <c r="I19" s="89" t="str">
        <f>IF(H19="","",H19/5*11.45*F值!$B$5)</f>
        <v/>
      </c>
      <c r="J19" s="18" t="str">
        <f t="shared" si="0"/>
        <v/>
      </c>
      <c r="K19" s="22" t="str">
        <f>IF(I19="","",IF(I19&lt;R19,"添加",IF(I19&gt;S19,"稀釋","")))</f>
        <v/>
      </c>
      <c r="L19" s="158" t="str">
        <f>IFERROR(IF(I19&gt;S19,"排液：" &amp; ROUND(Q19*(1-I4/I19),0) &amp; " L",IF(I19&lt;R19,"CXW-PS318(A)：" &amp; ROUND(((15-I19)/15)*Q19*10%,0) &amp; " L" &amp;"
CXW-PS318(B)：" &amp; ROUND(((15-I19)/15)*Q19*5%,0) &amp; " L","")),"")</f>
        <v/>
      </c>
      <c r="M19" s="113"/>
      <c r="N19" s="89" t="str">
        <f>IF(M19="","",M19/5*11.45*F值!$B$5)</f>
        <v/>
      </c>
      <c r="O19" s="18" t="str">
        <f t="shared" si="1"/>
        <v/>
      </c>
      <c r="P19" s="147" t="s">
        <v>201</v>
      </c>
      <c r="Q19" s="127">
        <v>350</v>
      </c>
      <c r="R19" s="154">
        <v>14</v>
      </c>
      <c r="S19" s="18">
        <v>16.899999999999999</v>
      </c>
      <c r="T19" s="14" t="s">
        <v>227</v>
      </c>
      <c r="U19" s="189">
        <v>46146</v>
      </c>
      <c r="V19" s="189">
        <v>46234</v>
      </c>
    </row>
    <row r="20" spans="1:22" ht="60" customHeight="1">
      <c r="A20" s="209"/>
      <c r="B20" s="139" t="s">
        <v>160</v>
      </c>
      <c r="C20" s="90" t="s">
        <v>126</v>
      </c>
      <c r="D20" s="90" t="s">
        <v>105</v>
      </c>
      <c r="E20" s="23">
        <v>4</v>
      </c>
      <c r="F20" s="24" t="s">
        <v>19</v>
      </c>
      <c r="G20" s="25">
        <v>6</v>
      </c>
      <c r="H20" s="117"/>
      <c r="I20" s="128" t="str">
        <f>IF(H20="","",H20*3.2*F值!$B$3)</f>
        <v/>
      </c>
      <c r="J20" s="18" t="str">
        <f t="shared" si="0"/>
        <v/>
      </c>
      <c r="K20" s="22" t="str">
        <f>IF(I20="","",IF(I20&lt;R20,"添加",IF(I20&gt;S20,"稀釋","")))</f>
        <v/>
      </c>
      <c r="L20" s="161" t="str">
        <f>IFERROR(IF(I20&gt;S20, "排液："&amp;ROUND(250*(1-5/I20)*0.5,1)&amp;" L" &amp;"
補水："&amp;ROUND(250*(1-5/I20)*0.5,1)&amp;" L", IF(I20&lt;R20, "硫酸(50%)："&amp;ROUND(((5-I20)*250/100)/0.5, 1)&amp;" L", "")), "")</f>
        <v/>
      </c>
      <c r="M20" s="117"/>
      <c r="N20" s="89" t="str">
        <f>IF(M20="","",M20*3.2*F值!$B$3)</f>
        <v/>
      </c>
      <c r="O20" s="18" t="str">
        <f t="shared" si="1"/>
        <v/>
      </c>
      <c r="P20" s="91" t="s">
        <v>202</v>
      </c>
      <c r="Q20" s="127">
        <v>250</v>
      </c>
      <c r="R20" s="154">
        <v>4.5</v>
      </c>
      <c r="S20" s="18">
        <v>5.9</v>
      </c>
    </row>
    <row r="21" spans="1:22" ht="60" customHeight="1">
      <c r="A21" s="209"/>
      <c r="B21" s="148" t="s">
        <v>161</v>
      </c>
      <c r="C21" s="26" t="s">
        <v>141</v>
      </c>
      <c r="D21" s="26" t="s">
        <v>148</v>
      </c>
      <c r="E21" s="30">
        <v>13</v>
      </c>
      <c r="F21" s="149" t="s">
        <v>19</v>
      </c>
      <c r="G21" s="31">
        <v>17</v>
      </c>
      <c r="H21" s="116"/>
      <c r="I21" s="125" t="str">
        <f>IF(H21="","",H21/5*11.45*F值!$B$5)</f>
        <v/>
      </c>
      <c r="J21" s="18" t="str">
        <f t="shared" si="0"/>
        <v/>
      </c>
      <c r="K21" s="22"/>
      <c r="L21" s="158" t="str">
        <f>IFERROR(IF(I21&gt;S21,"排液：" &amp; ROUND(Q21*(1-I6/I21),0) &amp; " L",IF(I21&lt;R21,"CXW-PS318(A)：" &amp; ROUND(((15-I21)/15)*Q21*10%,0) &amp; " L" &amp;"
CXW-PS318(B)：" &amp; ROUND(((15-I21)/15)*Q21*5%,0) &amp; " L","")),"")</f>
        <v/>
      </c>
      <c r="M21" s="116"/>
      <c r="N21" s="89" t="str">
        <f>IF(M21="","",M21/5*11.45*F值!$B$5)</f>
        <v/>
      </c>
      <c r="O21" s="18" t="str">
        <f t="shared" si="1"/>
        <v/>
      </c>
      <c r="P21" s="147" t="s">
        <v>201</v>
      </c>
      <c r="Q21" s="127">
        <v>150</v>
      </c>
      <c r="R21" s="154">
        <v>14</v>
      </c>
      <c r="S21" s="18">
        <v>16.899999999999999</v>
      </c>
      <c r="T21" s="14" t="s">
        <v>227</v>
      </c>
      <c r="U21" s="189">
        <v>46146</v>
      </c>
      <c r="V21" s="189">
        <v>46234</v>
      </c>
    </row>
    <row r="22" spans="1:22" ht="60" customHeight="1">
      <c r="A22" s="209"/>
      <c r="B22" s="148" t="s">
        <v>162</v>
      </c>
      <c r="C22" s="26" t="s">
        <v>141</v>
      </c>
      <c r="D22" s="26" t="s">
        <v>148</v>
      </c>
      <c r="E22" s="30">
        <v>13</v>
      </c>
      <c r="F22" s="149" t="s">
        <v>19</v>
      </c>
      <c r="G22" s="31">
        <v>17</v>
      </c>
      <c r="H22" s="116"/>
      <c r="I22" s="125" t="str">
        <f>IF(H22="","",H22/5*11.45*F值!$B$5)</f>
        <v/>
      </c>
      <c r="J22" s="18" t="str">
        <f t="shared" si="0"/>
        <v/>
      </c>
      <c r="K22" s="22" t="str">
        <f>IF(I22="","",IF(I22&lt;R22,"添加",IF(I22&gt;S22,"稀釋","")))</f>
        <v/>
      </c>
      <c r="L22" s="158" t="str">
        <f>IFERROR(IF(I22&gt;S22,"排液：" &amp; ROUND(Q22*(1-I7/I22),0) &amp; " L",IF(I22&lt;R22,"CXW-PS318(A)：" &amp; ROUND(((15-I22)/15)*Q22*10%,0) &amp; " L" &amp;"
CXW-PS318(B)：" &amp; ROUND(((15-I22)/15)*Q22*5%,0) &amp; " L","")),"")</f>
        <v/>
      </c>
      <c r="M22" s="116"/>
      <c r="N22" s="89" t="str">
        <f>IF(M22="","",M22/5*11.45*F值!$B$5)</f>
        <v/>
      </c>
      <c r="O22" s="18" t="str">
        <f t="shared" si="1"/>
        <v/>
      </c>
      <c r="P22" s="147" t="s">
        <v>201</v>
      </c>
      <c r="Q22" s="127">
        <v>150</v>
      </c>
      <c r="R22" s="154">
        <v>14</v>
      </c>
      <c r="S22" s="18">
        <v>16.899999999999999</v>
      </c>
      <c r="T22" s="14" t="s">
        <v>227</v>
      </c>
      <c r="U22" s="189">
        <v>46146</v>
      </c>
      <c r="V22" s="189">
        <v>46234</v>
      </c>
    </row>
    <row r="23" spans="1:22" ht="60" customHeight="1">
      <c r="A23" s="208" t="s">
        <v>248</v>
      </c>
      <c r="B23" s="218" t="s">
        <v>163</v>
      </c>
      <c r="C23" s="18" t="s">
        <v>144</v>
      </c>
      <c r="D23" s="18" t="s">
        <v>222</v>
      </c>
      <c r="E23" s="23">
        <v>2</v>
      </c>
      <c r="F23" s="24" t="s">
        <v>19</v>
      </c>
      <c r="G23" s="25">
        <v>4</v>
      </c>
      <c r="H23" s="116"/>
      <c r="I23" s="129" t="str">
        <f>IF(H23="","",2.7*H23/5*F值!$B$3)</f>
        <v/>
      </c>
      <c r="J23" s="18" t="str">
        <f t="shared" si="0"/>
        <v/>
      </c>
      <c r="K23" s="22" t="str">
        <f>IF(I23="","",IF(I23&lt;R23,"添加",IF(I23&gt;S23,"稀釋","")))</f>
        <v/>
      </c>
      <c r="L23" s="165" t="str">
        <f>IFERROR(IF(I23&gt;S23, "排液："&amp;ROUND(1050*(1-3/I23)*0.5,1)&amp;" L"&amp;"
補水："&amp;ROUND(1050*(1-3/I23)*0.5,1)&amp;" L", IF(I23&lt;R23, "硫酸(50%)："&amp;ROUND(((3-I23)*1050/100)/0.5, 2)&amp;" L", "")), "")</f>
        <v/>
      </c>
      <c r="M23" s="116"/>
      <c r="N23" s="130" t="str">
        <f>IF(M23="","",2.7*M23/5*F值!$B$3)</f>
        <v/>
      </c>
      <c r="O23" s="18" t="str">
        <f t="shared" si="1"/>
        <v/>
      </c>
      <c r="P23" s="91" t="s">
        <v>202</v>
      </c>
      <c r="Q23" s="227">
        <v>1050</v>
      </c>
      <c r="R23" s="155">
        <v>2.5</v>
      </c>
      <c r="S23" s="18">
        <v>3.8</v>
      </c>
      <c r="T23" s="14" t="s">
        <v>226</v>
      </c>
      <c r="U23" s="189">
        <v>46146</v>
      </c>
      <c r="V23" s="189">
        <v>46234</v>
      </c>
    </row>
    <row r="24" spans="1:22" ht="60" customHeight="1">
      <c r="A24" s="209"/>
      <c r="B24" s="219"/>
      <c r="C24" s="26" t="s">
        <v>128</v>
      </c>
      <c r="D24" s="27" t="s">
        <v>145</v>
      </c>
      <c r="E24" s="23">
        <v>10</v>
      </c>
      <c r="F24" s="24" t="s">
        <v>19</v>
      </c>
      <c r="G24" s="25">
        <v>35</v>
      </c>
      <c r="H24" s="113"/>
      <c r="I24" s="130" t="str">
        <f>IF(H24="","",3.18*H24*F值!$B$6)</f>
        <v/>
      </c>
      <c r="J24" s="18" t="str">
        <f t="shared" si="0"/>
        <v/>
      </c>
      <c r="K24" s="22" t="str">
        <f t="shared" ref="K24:K29" si="2">IF(I24="","",IF(I24&lt;R24,"添加",IF(I24&gt;S24,"稀釋","")))</f>
        <v/>
      </c>
      <c r="L24" s="165" t="str">
        <f>IFERROR(IF(I24&gt;S24, "排液："&amp;ROUND(1050*(1-25/I24)*0.5,1)&amp;" L"&amp;"
補水："&amp;ROUND(1050*(1-25/I24)*0.5,1)&amp;" L", IF(I24&lt;R24, "CuSO4．5H2O："&amp;ROUND(((25-I24)*1050/100)/0.5, 2)&amp;" L", "")), "")</f>
        <v/>
      </c>
      <c r="M24" s="113"/>
      <c r="N24" s="130" t="str">
        <f>IF(M24="","",3.18*M24*F值!$B$6)</f>
        <v/>
      </c>
      <c r="O24" s="18" t="str">
        <f t="shared" si="1"/>
        <v/>
      </c>
      <c r="P24" s="91" t="s">
        <v>191</v>
      </c>
      <c r="Q24" s="227"/>
      <c r="R24" s="156">
        <v>11</v>
      </c>
      <c r="S24" s="18">
        <v>34</v>
      </c>
    </row>
    <row r="25" spans="1:22" ht="60" customHeight="1">
      <c r="A25" s="209"/>
      <c r="B25" s="220"/>
      <c r="C25" s="18" t="s">
        <v>146</v>
      </c>
      <c r="D25" s="18" t="s">
        <v>223</v>
      </c>
      <c r="E25" s="23">
        <v>3.5</v>
      </c>
      <c r="F25" s="24" t="s">
        <v>19</v>
      </c>
      <c r="G25" s="25">
        <v>6.5</v>
      </c>
      <c r="H25" s="113"/>
      <c r="I25" s="130" t="str">
        <f>IF(H25="","",0.428*2*H25*F值!$B$7)</f>
        <v/>
      </c>
      <c r="J25" s="18" t="str">
        <f t="shared" si="0"/>
        <v/>
      </c>
      <c r="K25" s="22" t="str">
        <f t="shared" si="2"/>
        <v/>
      </c>
      <c r="L25" s="165" t="str">
        <f>IFERROR(IF(I25&gt;S25, "排液："&amp;ROUND(1050*(1-5/I25)*0.5,1)&amp;" L"&amp;"
補水："&amp;ROUND(1050*(1-5/I25)*0.5,1)&amp;" L", IF(I25&lt;R25, "CuSO4．5H2O："&amp;ROUND(((5-I25)*1050/100)/0.5, 2)&amp;" L", "")), "")</f>
        <v/>
      </c>
      <c r="M25" s="113"/>
      <c r="N25" s="130" t="str">
        <f>IF(M25="","",0.428*2*M25*F值!$B$7)</f>
        <v/>
      </c>
      <c r="O25" s="18" t="str">
        <f t="shared" si="1"/>
        <v/>
      </c>
      <c r="P25" s="91" t="s">
        <v>193</v>
      </c>
      <c r="Q25" s="227"/>
      <c r="R25" s="155">
        <v>4</v>
      </c>
      <c r="S25" s="18">
        <v>6</v>
      </c>
      <c r="T25" s="14" t="s">
        <v>226</v>
      </c>
      <c r="U25" s="189">
        <v>46146</v>
      </c>
      <c r="V25" s="189">
        <v>46234</v>
      </c>
    </row>
    <row r="26" spans="1:22" ht="60" customHeight="1">
      <c r="A26" s="209"/>
      <c r="B26" s="218" t="s">
        <v>164</v>
      </c>
      <c r="C26" s="90" t="s">
        <v>150</v>
      </c>
      <c r="D26" s="90" t="s">
        <v>149</v>
      </c>
      <c r="E26" s="95">
        <v>3</v>
      </c>
      <c r="F26" s="24" t="s">
        <v>19</v>
      </c>
      <c r="G26" s="96">
        <v>5</v>
      </c>
      <c r="H26" s="113"/>
      <c r="I26" s="130" t="str">
        <f>IF(H26="","",37.4*H26*F值!$B$3/10)</f>
        <v/>
      </c>
      <c r="J26" s="18" t="str">
        <f t="shared" si="0"/>
        <v/>
      </c>
      <c r="K26" s="22" t="str">
        <f t="shared" si="2"/>
        <v/>
      </c>
      <c r="L26" s="166" t="str">
        <f>IFERROR(IF(I26&gt;S26, "排液："&amp;ROUND(200*(1-4/I26)*0.5,1)&amp;" L"&amp;"
補水："&amp;ROUND(200*(1-4/I26)*0.5,1)&amp;" L", IF(I26&lt;R26, "硝酸："&amp;ROUND(((4-I26)*200/100), 2)&amp;" L", "")), "")</f>
        <v/>
      </c>
      <c r="M26" s="113"/>
      <c r="N26" s="130" t="str">
        <f>IF(M26="","",37.4*M26*F值!$B$3/10)</f>
        <v/>
      </c>
      <c r="O26" s="18" t="str">
        <f t="shared" si="1"/>
        <v/>
      </c>
      <c r="P26" s="91" t="s">
        <v>192</v>
      </c>
      <c r="Q26" s="210">
        <v>200</v>
      </c>
      <c r="R26" s="157">
        <v>3.5</v>
      </c>
      <c r="S26" s="18">
        <v>4.8</v>
      </c>
    </row>
    <row r="27" spans="1:22" ht="60" customHeight="1">
      <c r="A27" s="209"/>
      <c r="B27" s="224"/>
      <c r="C27" s="18" t="s">
        <v>146</v>
      </c>
      <c r="D27" s="90" t="s">
        <v>151</v>
      </c>
      <c r="E27" s="95">
        <v>0.5</v>
      </c>
      <c r="F27" s="24" t="s">
        <v>19</v>
      </c>
      <c r="G27" s="96">
        <v>2.5</v>
      </c>
      <c r="H27" s="113"/>
      <c r="I27" s="130" t="str">
        <f>IF(H27="","",0.428*2*H27*F值!$B$7)</f>
        <v/>
      </c>
      <c r="J27" s="18" t="str">
        <f t="shared" si="0"/>
        <v/>
      </c>
      <c r="K27" s="22" t="str">
        <f t="shared" si="2"/>
        <v/>
      </c>
      <c r="L27" s="165" t="str">
        <f>IFERROR(IF(I27&gt;S27, "排液："&amp;ROUND(200*(1-1.5/I27)*0.5,1)&amp;" L"&amp;"
補水："&amp;ROUND(200*(1-1.5/I27)*0.5,1)&amp;" L", IF(I27&lt;R27, "H2O2："&amp;ROUND(((1.5-I27)*200/100), 2)&amp;" L", "")), "")</f>
        <v/>
      </c>
      <c r="M27" s="113"/>
      <c r="N27" s="130" t="str">
        <f>IF(M27="","",0.428*2*M27*F值!$B$7)</f>
        <v/>
      </c>
      <c r="O27" s="18" t="str">
        <f t="shared" si="1"/>
        <v/>
      </c>
      <c r="P27" s="91" t="s">
        <v>193</v>
      </c>
      <c r="Q27" s="211"/>
      <c r="R27" s="157">
        <v>1.3</v>
      </c>
      <c r="S27" s="18">
        <v>2.4</v>
      </c>
    </row>
    <row r="28" spans="1:22" ht="60" customHeight="1">
      <c r="A28" s="209"/>
      <c r="B28" s="225"/>
      <c r="C28" s="26" t="s">
        <v>128</v>
      </c>
      <c r="D28" s="26" t="s">
        <v>225</v>
      </c>
      <c r="E28" s="97">
        <v>0</v>
      </c>
      <c r="F28" s="24" t="s">
        <v>224</v>
      </c>
      <c r="G28" s="96">
        <v>5</v>
      </c>
      <c r="H28" s="184"/>
      <c r="I28" s="130" t="str">
        <f>IF(H28="","",3.18*H28*F值!$B$6)</f>
        <v/>
      </c>
      <c r="J28" s="18" t="str">
        <f t="shared" si="0"/>
        <v/>
      </c>
      <c r="K28" s="185" t="str">
        <f>IF(I28="","",IF(I28&gt;S28,"更槽",""))</f>
        <v/>
      </c>
      <c r="L28" s="186"/>
      <c r="M28" s="184"/>
      <c r="N28" s="130" t="str">
        <f>IF(M28="","",3.18*M28*F值!$B$6)</f>
        <v/>
      </c>
      <c r="O28" s="18" t="str">
        <f t="shared" si="1"/>
        <v/>
      </c>
      <c r="P28" s="187" t="s">
        <v>191</v>
      </c>
      <c r="Q28" s="212"/>
      <c r="R28" s="188" t="s">
        <v>100</v>
      </c>
      <c r="S28" s="183">
        <v>5</v>
      </c>
      <c r="T28" s="14" t="s">
        <v>226</v>
      </c>
      <c r="U28" s="189">
        <v>46146</v>
      </c>
      <c r="V28" s="189">
        <v>46234</v>
      </c>
    </row>
    <row r="29" spans="1:22" ht="60" customHeight="1">
      <c r="A29" s="209"/>
      <c r="B29" s="139" t="s">
        <v>165</v>
      </c>
      <c r="C29" s="18" t="s">
        <v>152</v>
      </c>
      <c r="D29" s="18" t="s">
        <v>105</v>
      </c>
      <c r="E29" s="23">
        <v>4</v>
      </c>
      <c r="F29" s="24" t="s">
        <v>19</v>
      </c>
      <c r="G29" s="25">
        <v>6</v>
      </c>
      <c r="H29" s="113"/>
      <c r="I29" s="130" t="str">
        <f>IF(H29="","",H29*3.2*F值!$B$3)</f>
        <v/>
      </c>
      <c r="J29" s="18" t="str">
        <f t="shared" si="0"/>
        <v/>
      </c>
      <c r="K29" s="22" t="str">
        <f t="shared" si="2"/>
        <v/>
      </c>
      <c r="L29" s="158" t="str">
        <f>IFERROR(IF(I29&gt;S29, "排液："&amp;ROUND(200*(1-5/I29)*0.5,1)&amp;" L"&amp;"
補水："&amp;ROUND(200*(1-5/I29)*0.5,1)&amp;" L", IF(I29&lt;R29, "硫酸(50%)："&amp;ROUND(((5-I29)*200/100), 2)&amp;" L", "")), "")</f>
        <v/>
      </c>
      <c r="M29" s="113"/>
      <c r="N29" s="130" t="str">
        <f>IF(M29="","",M29*3.2*F值!$B$3)</f>
        <v/>
      </c>
      <c r="O29" s="18" t="str">
        <f t="shared" si="1"/>
        <v/>
      </c>
      <c r="P29" s="91" t="s">
        <v>202</v>
      </c>
      <c r="Q29" s="127">
        <v>200</v>
      </c>
      <c r="R29" s="154">
        <v>4.5</v>
      </c>
      <c r="S29" s="18">
        <v>5.9</v>
      </c>
    </row>
    <row r="30" spans="1:22" ht="18" customHeight="1">
      <c r="A30" s="33" t="s">
        <v>23</v>
      </c>
      <c r="B30" s="15"/>
      <c r="C30" s="34"/>
      <c r="D30" s="34"/>
      <c r="E30" s="34"/>
      <c r="F30" s="34"/>
      <c r="G30" s="34"/>
      <c r="H30" s="34"/>
      <c r="I30" s="34"/>
      <c r="J30" s="35"/>
      <c r="K30" s="17" t="str">
        <f>IF(J30="","",IF(I30&lt;R30,"添加",IF(I30&gt;#REF!,"稀釋","")))</f>
        <v/>
      </c>
      <c r="L30" s="17" t="str">
        <f>IF(P30="","",((R30-I30)/100)*Q29)</f>
        <v/>
      </c>
      <c r="R30"/>
      <c r="S30" s="17"/>
    </row>
    <row r="31" spans="1:22" ht="18" customHeight="1">
      <c r="A31" s="108"/>
      <c r="B31" s="109"/>
      <c r="D31" s="15"/>
      <c r="E31" s="15"/>
      <c r="F31" s="15"/>
      <c r="G31" s="15"/>
      <c r="H31" s="15"/>
      <c r="I31" s="15"/>
      <c r="J31" s="36"/>
      <c r="K31" s="17" t="str">
        <f>IF(J31="","",IF(I31&lt;R31,"添加",IF(I31&gt;#REF!,"稀釋","")))</f>
        <v/>
      </c>
      <c r="L31" s="17" t="str">
        <f>IF(P31="","",((R31-I31)/100)*Q31/0.5)</f>
        <v/>
      </c>
      <c r="S31" s="17"/>
    </row>
    <row r="32" spans="1:22" ht="18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10"/>
      <c r="S32" s="17"/>
    </row>
    <row r="33" spans="1:10" ht="18" customHeight="1">
      <c r="A33" s="140"/>
      <c r="B33" s="140"/>
      <c r="C33" s="111"/>
      <c r="D33" s="111"/>
      <c r="E33" s="111"/>
      <c r="F33" s="111"/>
      <c r="G33" s="111"/>
      <c r="H33" s="111"/>
      <c r="I33" s="111"/>
      <c r="J33" s="112"/>
    </row>
    <row r="34" spans="1:10" ht="31.5" customHeight="1">
      <c r="A34" s="37" t="s">
        <v>25</v>
      </c>
      <c r="C34" s="38" t="s">
        <v>26</v>
      </c>
      <c r="H34" s="38" t="s">
        <v>27</v>
      </c>
    </row>
    <row r="35" spans="1:10" ht="18" customHeight="1"/>
  </sheetData>
  <sheetProtection algorithmName="SHA-512" hashValue="jrQmizNtQybdvj6MqyBj6mttdcp25OBhopsETuQZnAqVKrHoWD2/nb8VFVcdSGM7a8XN4vIsdaE2Fp/hXbyh8A==" saltValue="GUmG5YGzWBuPa5Hjmj843Q==" spinCount="100000" sheet="1" objects="1" scenarios="1"/>
  <mergeCells count="27">
    <mergeCell ref="T5:V5"/>
    <mergeCell ref="Q23:Q25"/>
    <mergeCell ref="B4:J4"/>
    <mergeCell ref="B5:J5"/>
    <mergeCell ref="Q15:Q16"/>
    <mergeCell ref="P8:P9"/>
    <mergeCell ref="P10:P11"/>
    <mergeCell ref="Q8:Q9"/>
    <mergeCell ref="Q10:Q11"/>
    <mergeCell ref="Q13:Q14"/>
    <mergeCell ref="P13:P14"/>
    <mergeCell ref="P15:P16"/>
    <mergeCell ref="Q26:Q28"/>
    <mergeCell ref="A17:A22"/>
    <mergeCell ref="A23:A29"/>
    <mergeCell ref="B8:B9"/>
    <mergeCell ref="B10:B11"/>
    <mergeCell ref="B13:B14"/>
    <mergeCell ref="B15:B16"/>
    <mergeCell ref="B23:B25"/>
    <mergeCell ref="A13:A16"/>
    <mergeCell ref="B26:B28"/>
    <mergeCell ref="A1:I1"/>
    <mergeCell ref="A2:J2"/>
    <mergeCell ref="B3:J3"/>
    <mergeCell ref="E6:G6"/>
    <mergeCell ref="A7:A12"/>
  </mergeCells>
  <phoneticPr fontId="18" type="noConversion"/>
  <conditionalFormatting sqref="J7:J29">
    <cfRule type="containsText" dxfId="1" priority="3" operator="containsText" text="NG">
      <formula>NOT(ISERROR(SEARCH("NG",J7)))</formula>
    </cfRule>
  </conditionalFormatting>
  <conditionalFormatting sqref="O7:O29">
    <cfRule type="containsText" dxfId="0" priority="1" operator="containsText" text="NG">
      <formula>NOT(ISERROR(SEARCH("NG",O7)))</formula>
    </cfRule>
  </conditionalFormatting>
  <pageMargins left="0.7" right="0.7" top="0.75" bottom="0.75" header="0.3" footer="0.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"/>
  <sheetViews>
    <sheetView showGridLines="0" tabSelected="1" workbookViewId="0">
      <selection activeCell="B5" sqref="B5"/>
    </sheetView>
  </sheetViews>
  <sheetFormatPr defaultColWidth="9" defaultRowHeight="15.75"/>
  <cols>
    <col min="1" max="1" width="15.625" style="175" customWidth="1"/>
    <col min="2" max="2" width="11.125" style="175" customWidth="1"/>
    <col min="3" max="16384" width="9" style="175"/>
  </cols>
  <sheetData>
    <row r="1" spans="1:11" ht="20.100000000000001" customHeight="1">
      <c r="A1" s="174"/>
    </row>
    <row r="2" spans="1:11" s="174" customFormat="1" ht="20.100000000000001" customHeight="1">
      <c r="A2" s="178" t="s">
        <v>211</v>
      </c>
      <c r="B2" s="176" t="s">
        <v>212</v>
      </c>
    </row>
    <row r="3" spans="1:11" ht="20.100000000000001" customHeight="1">
      <c r="A3" s="179" t="s">
        <v>208</v>
      </c>
      <c r="B3" s="182">
        <v>0.97499999999999998</v>
      </c>
    </row>
    <row r="4" spans="1:11" ht="20.100000000000001" customHeight="1">
      <c r="A4" s="180" t="s">
        <v>156</v>
      </c>
      <c r="B4" s="182">
        <v>1</v>
      </c>
    </row>
    <row r="5" spans="1:11" ht="20.100000000000001" customHeight="1">
      <c r="A5" s="179" t="s">
        <v>153</v>
      </c>
      <c r="B5" s="182">
        <v>0.95799999999999996</v>
      </c>
    </row>
    <row r="6" spans="1:11" ht="20.100000000000001" customHeight="1">
      <c r="A6" s="179" t="s">
        <v>154</v>
      </c>
      <c r="B6" s="182">
        <v>1</v>
      </c>
    </row>
    <row r="7" spans="1:11" ht="20.100000000000001" customHeight="1">
      <c r="A7" s="181" t="s">
        <v>155</v>
      </c>
      <c r="B7" s="182">
        <v>1</v>
      </c>
    </row>
    <row r="8" spans="1:11" ht="20.100000000000001" customHeight="1">
      <c r="A8" s="180" t="s">
        <v>209</v>
      </c>
      <c r="B8" s="182">
        <v>1</v>
      </c>
      <c r="K8" s="177"/>
    </row>
    <row r="9" spans="1:11" ht="20.100000000000001" customHeight="1">
      <c r="A9" s="180" t="s">
        <v>210</v>
      </c>
      <c r="B9" s="182">
        <v>1</v>
      </c>
    </row>
    <row r="10" spans="1:11" ht="20.100000000000001" customHeight="1">
      <c r="A10" s="180" t="s">
        <v>221</v>
      </c>
      <c r="B10" s="182">
        <v>1</v>
      </c>
    </row>
  </sheetData>
  <phoneticPr fontId="18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6" master="" otherUserPermission="visible"/>
  <rangeList sheetStid="17" master="" otherUserPermission="visible"/>
  <rangeList sheetStid="18" master="" otherUserPermission="visible"/>
  <rangeList sheetStid="20" master="" otherUserPermission="visible"/>
  <rangeList sheetStid="19" master="" otherUserPermission="visible"/>
  <rangeList sheetStid="21" master="" otherUserPermission="visible"/>
  <rangeList sheetStid="14" master="" otherUserPermission="visible"/>
  <rangeList sheetStid="10" master="" otherUserPermission="visible"/>
  <rangeList sheetStid="11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CN</vt:lpstr>
      <vt:lpstr>N1 (開)</vt:lpstr>
      <vt:lpstr>N1 (收)</vt:lpstr>
      <vt:lpstr>N2 (開)</vt:lpstr>
      <vt:lpstr>N2 (收)</vt:lpstr>
      <vt:lpstr>C1</vt:lpstr>
      <vt:lpstr>C3</vt:lpstr>
      <vt:lpstr>C5</vt:lpstr>
      <vt:lpstr>DP</vt:lpstr>
      <vt:lpstr>舊線</vt:lpstr>
      <vt:lpstr>新線</vt:lpstr>
      <vt:lpstr>F值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P22056</dc:creator>
  <cp:lastModifiedBy>劉思妤</cp:lastModifiedBy>
  <cp:lastPrinted>2026-04-17T01:05:00Z</cp:lastPrinted>
  <dcterms:created xsi:type="dcterms:W3CDTF">2012-08-31T05:15:00Z</dcterms:created>
  <dcterms:modified xsi:type="dcterms:W3CDTF">2026-05-14T00:02:16Z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3076-12.1.0.25242</vt:lpwstr>
  </property>
  <property fmtid="{D5CDD505-2E9C-101B-9397-08002B2CF9AE}" pid="3" name="ICV">
    <vt:lpwstr>AC65ACE8FDE84AE9B1F3AE71390D09ED_12</vt:lpwstr>
  </property>
  <property fmtid="{D5CDD505-2E9C-101B-9397-08002B2CF9AE}" pid="4" name="CalculationRule">
    <vt:i4>0</vt:i4>
  </property>
</Properties>
</file>